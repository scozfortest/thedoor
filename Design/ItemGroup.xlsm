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10920" windowHeight="3720"/>
  </bookViews>
  <sheets>
    <sheet name="ItemGroup" sheetId="1" r:id="rId1"/>
    <sheet name="ItemGroupTool" sheetId="8" r:id="rId2"/>
    <sheet name="Info" sheetId="6" r:id="rId3"/>
    <sheet name="Setting" sheetId="7" r:id="rId4"/>
  </sheets>
  <functionGroups builtInGroupCount="17"/>
  <externalReferences>
    <externalReference r:id="rId5"/>
  </externalReferences>
  <definedNames>
    <definedName name="ItemType">OFFSET(Setting!$A$11:$A$100,,,COUNTA(Setting!$A$11:$A$100))</definedName>
    <definedName name="Type">OFFSET(Setting!$C$11:$C$100,,,COUNTA(Setting!$C$11:$C$100))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5" i="8" l="1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24" i="8" l="1"/>
  <c r="C22" i="8" l="1"/>
  <c r="F26" i="8" l="1"/>
  <c r="F25" i="8"/>
  <c r="F24" i="8"/>
  <c r="D35" i="8"/>
  <c r="J51" i="8" l="1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N41" i="8"/>
  <c r="J32" i="8" l="1"/>
  <c r="J31" i="8"/>
  <c r="J30" i="8"/>
  <c r="J29" i="8"/>
  <c r="N66" i="8" l="1"/>
  <c r="O66" i="8"/>
  <c r="N67" i="8"/>
  <c r="O67" i="8"/>
  <c r="N68" i="8"/>
  <c r="O68" i="8"/>
  <c r="N69" i="8"/>
  <c r="O69" i="8"/>
  <c r="N70" i="8"/>
  <c r="O70" i="8"/>
  <c r="N71" i="8"/>
  <c r="O71" i="8"/>
  <c r="D264" i="8" l="1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N40" i="8" l="1"/>
  <c r="N25" i="8"/>
  <c r="N26" i="8"/>
  <c r="N27" i="8"/>
  <c r="N28" i="8"/>
  <c r="N29" i="8"/>
  <c r="N30" i="8"/>
  <c r="N31" i="8"/>
  <c r="N32" i="8"/>
  <c r="N33" i="8"/>
  <c r="N34" i="8"/>
  <c r="N35" i="8"/>
  <c r="N36" i="8"/>
  <c r="N24" i="8"/>
  <c r="N38" i="8" l="1"/>
  <c r="J25" i="8"/>
  <c r="J26" i="8"/>
  <c r="J27" i="8"/>
  <c r="J28" i="8"/>
  <c r="J33" i="8"/>
  <c r="J34" i="8"/>
  <c r="J35" i="8"/>
  <c r="J36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M235" i="8" s="1"/>
  <c r="J236" i="8"/>
  <c r="M236" i="8" s="1"/>
  <c r="J237" i="8"/>
  <c r="M237" i="8" s="1"/>
  <c r="J238" i="8"/>
  <c r="M238" i="8" s="1"/>
  <c r="J239" i="8"/>
  <c r="M239" i="8" s="1"/>
  <c r="J240" i="8"/>
  <c r="M240" i="8" s="1"/>
  <c r="J241" i="8"/>
  <c r="M241" i="8" s="1"/>
  <c r="J242" i="8"/>
  <c r="M242" i="8" s="1"/>
  <c r="J243" i="8"/>
  <c r="M243" i="8" s="1"/>
  <c r="J244" i="8"/>
  <c r="M244" i="8" s="1"/>
  <c r="J245" i="8"/>
  <c r="M245" i="8" s="1"/>
  <c r="J246" i="8"/>
  <c r="M246" i="8" s="1"/>
  <c r="J247" i="8"/>
  <c r="M247" i="8" s="1"/>
  <c r="J248" i="8"/>
  <c r="M248" i="8" s="1"/>
  <c r="J249" i="8"/>
  <c r="M249" i="8" s="1"/>
  <c r="J250" i="8"/>
  <c r="M250" i="8" s="1"/>
  <c r="J251" i="8"/>
  <c r="M251" i="8" s="1"/>
  <c r="J252" i="8"/>
  <c r="M252" i="8" s="1"/>
  <c r="J253" i="8"/>
  <c r="M253" i="8" s="1"/>
  <c r="J254" i="8"/>
  <c r="M254" i="8" s="1"/>
  <c r="J255" i="8"/>
  <c r="M255" i="8" s="1"/>
  <c r="J256" i="8"/>
  <c r="M256" i="8" s="1"/>
  <c r="J257" i="8"/>
  <c r="M257" i="8" s="1"/>
  <c r="J258" i="8"/>
  <c r="M258" i="8" s="1"/>
  <c r="J259" i="8"/>
  <c r="M259" i="8" s="1"/>
  <c r="J260" i="8"/>
  <c r="M260" i="8" s="1"/>
  <c r="J261" i="8"/>
  <c r="M261" i="8" s="1"/>
  <c r="J262" i="8"/>
  <c r="M262" i="8" s="1"/>
  <c r="J263" i="8"/>
  <c r="M263" i="8" s="1"/>
  <c r="J264" i="8"/>
  <c r="M264" i="8" s="1"/>
  <c r="J265" i="8"/>
  <c r="M265" i="8" s="1"/>
  <c r="L265" i="8"/>
  <c r="J266" i="8"/>
  <c r="M266" i="8" s="1"/>
  <c r="L266" i="8"/>
  <c r="J267" i="8"/>
  <c r="M267" i="8" s="1"/>
  <c r="L267" i="8"/>
  <c r="J268" i="8"/>
  <c r="M268" i="8" s="1"/>
  <c r="L268" i="8"/>
  <c r="J269" i="8"/>
  <c r="M269" i="8" s="1"/>
  <c r="L269" i="8"/>
  <c r="J270" i="8"/>
  <c r="M270" i="8" s="1"/>
  <c r="L270" i="8"/>
  <c r="J271" i="8"/>
  <c r="M271" i="8" s="1"/>
  <c r="L271" i="8"/>
  <c r="J272" i="8"/>
  <c r="M272" i="8" s="1"/>
  <c r="L272" i="8"/>
  <c r="J273" i="8"/>
  <c r="M273" i="8" s="1"/>
  <c r="L273" i="8"/>
  <c r="J274" i="8"/>
  <c r="M274" i="8" s="1"/>
  <c r="L274" i="8"/>
  <c r="J275" i="8"/>
  <c r="M275" i="8" s="1"/>
  <c r="L275" i="8"/>
  <c r="J276" i="8"/>
  <c r="M276" i="8" s="1"/>
  <c r="L276" i="8"/>
  <c r="J277" i="8"/>
  <c r="M277" i="8" s="1"/>
  <c r="L277" i="8"/>
  <c r="J278" i="8"/>
  <c r="M278" i="8" s="1"/>
  <c r="L278" i="8"/>
  <c r="J279" i="8"/>
  <c r="M279" i="8" s="1"/>
  <c r="L279" i="8"/>
  <c r="J280" i="8"/>
  <c r="M280" i="8" s="1"/>
  <c r="L280" i="8"/>
  <c r="J281" i="8"/>
  <c r="M281" i="8" s="1"/>
  <c r="L281" i="8"/>
  <c r="J282" i="8"/>
  <c r="M282" i="8" s="1"/>
  <c r="L282" i="8"/>
  <c r="J283" i="8"/>
  <c r="M283" i="8" s="1"/>
  <c r="L283" i="8"/>
  <c r="J284" i="8"/>
  <c r="M284" i="8" s="1"/>
  <c r="L284" i="8"/>
  <c r="J285" i="8"/>
  <c r="M285" i="8" s="1"/>
  <c r="L285" i="8"/>
  <c r="J286" i="8"/>
  <c r="M286" i="8" s="1"/>
  <c r="L286" i="8"/>
  <c r="J287" i="8"/>
  <c r="M287" i="8" s="1"/>
  <c r="L287" i="8"/>
  <c r="J288" i="8"/>
  <c r="M288" i="8" s="1"/>
  <c r="L288" i="8"/>
  <c r="J289" i="8"/>
  <c r="M289" i="8" s="1"/>
  <c r="L289" i="8"/>
  <c r="J290" i="8"/>
  <c r="M290" i="8" s="1"/>
  <c r="L290" i="8"/>
  <c r="J291" i="8"/>
  <c r="M291" i="8" s="1"/>
  <c r="L291" i="8"/>
  <c r="J292" i="8"/>
  <c r="M292" i="8" s="1"/>
  <c r="L292" i="8"/>
  <c r="J293" i="8"/>
  <c r="M293" i="8" s="1"/>
  <c r="L293" i="8"/>
  <c r="J294" i="8"/>
  <c r="M294" i="8" s="1"/>
  <c r="L294" i="8"/>
  <c r="J295" i="8"/>
  <c r="M295" i="8" s="1"/>
  <c r="L295" i="8"/>
  <c r="J296" i="8"/>
  <c r="M296" i="8" s="1"/>
  <c r="L296" i="8"/>
  <c r="J297" i="8"/>
  <c r="M297" i="8" s="1"/>
  <c r="L297" i="8"/>
  <c r="J298" i="8"/>
  <c r="M298" i="8" s="1"/>
  <c r="L298" i="8"/>
  <c r="J299" i="8"/>
  <c r="M299" i="8" s="1"/>
  <c r="L299" i="8"/>
  <c r="J300" i="8"/>
  <c r="M300" i="8" s="1"/>
  <c r="L300" i="8"/>
  <c r="J301" i="8"/>
  <c r="M301" i="8" s="1"/>
  <c r="L301" i="8"/>
  <c r="J302" i="8"/>
  <c r="M302" i="8" s="1"/>
  <c r="L302" i="8"/>
  <c r="J303" i="8"/>
  <c r="M303" i="8" s="1"/>
  <c r="L303" i="8"/>
  <c r="J304" i="8"/>
  <c r="M304" i="8" s="1"/>
  <c r="L304" i="8"/>
  <c r="J305" i="8"/>
  <c r="M305" i="8" s="1"/>
  <c r="L305" i="8"/>
  <c r="J306" i="8"/>
  <c r="M306" i="8" s="1"/>
  <c r="L306" i="8"/>
  <c r="J307" i="8"/>
  <c r="M307" i="8" s="1"/>
  <c r="L307" i="8"/>
  <c r="J308" i="8"/>
  <c r="M308" i="8" s="1"/>
  <c r="L308" i="8"/>
  <c r="J309" i="8"/>
  <c r="M309" i="8" s="1"/>
  <c r="L309" i="8"/>
  <c r="J310" i="8"/>
  <c r="M310" i="8" s="1"/>
  <c r="L310" i="8"/>
  <c r="J311" i="8"/>
  <c r="M311" i="8" s="1"/>
  <c r="L311" i="8"/>
  <c r="J312" i="8"/>
  <c r="M312" i="8" s="1"/>
  <c r="L312" i="8"/>
  <c r="J313" i="8"/>
  <c r="M313" i="8" s="1"/>
  <c r="L313" i="8"/>
  <c r="J314" i="8"/>
  <c r="M314" i="8" s="1"/>
  <c r="L314" i="8"/>
  <c r="J315" i="8"/>
  <c r="M315" i="8" s="1"/>
  <c r="L315" i="8"/>
  <c r="J316" i="8"/>
  <c r="M316" i="8" s="1"/>
  <c r="L316" i="8"/>
  <c r="J317" i="8"/>
  <c r="M317" i="8" s="1"/>
  <c r="L317" i="8"/>
  <c r="J318" i="8"/>
  <c r="M318" i="8" s="1"/>
  <c r="L318" i="8"/>
  <c r="J319" i="8"/>
  <c r="M319" i="8" s="1"/>
  <c r="L319" i="8"/>
  <c r="J320" i="8"/>
  <c r="M320" i="8" s="1"/>
  <c r="L320" i="8"/>
  <c r="J321" i="8"/>
  <c r="M321" i="8" s="1"/>
  <c r="L321" i="8"/>
  <c r="J322" i="8"/>
  <c r="M322" i="8" s="1"/>
  <c r="L322" i="8"/>
  <c r="J323" i="8"/>
  <c r="M323" i="8" s="1"/>
  <c r="L323" i="8"/>
  <c r="J324" i="8"/>
  <c r="M324" i="8" s="1"/>
  <c r="L324" i="8"/>
  <c r="J325" i="8"/>
  <c r="M325" i="8" s="1"/>
  <c r="L325" i="8"/>
  <c r="J326" i="8"/>
  <c r="M326" i="8" s="1"/>
  <c r="L326" i="8"/>
  <c r="J327" i="8"/>
  <c r="M327" i="8" s="1"/>
  <c r="L327" i="8"/>
  <c r="J328" i="8"/>
  <c r="M328" i="8" s="1"/>
  <c r="L328" i="8"/>
  <c r="J329" i="8"/>
  <c r="M329" i="8" s="1"/>
  <c r="L329" i="8"/>
  <c r="J330" i="8"/>
  <c r="M330" i="8" s="1"/>
  <c r="L330" i="8"/>
  <c r="J331" i="8"/>
  <c r="M331" i="8" s="1"/>
  <c r="L331" i="8"/>
  <c r="J332" i="8"/>
  <c r="M332" i="8" s="1"/>
  <c r="L332" i="8"/>
  <c r="J333" i="8"/>
  <c r="M333" i="8" s="1"/>
  <c r="L333" i="8"/>
  <c r="J334" i="8"/>
  <c r="M334" i="8" s="1"/>
  <c r="L334" i="8"/>
  <c r="J335" i="8"/>
  <c r="M335" i="8" s="1"/>
  <c r="L335" i="8"/>
  <c r="J336" i="8"/>
  <c r="M336" i="8" s="1"/>
  <c r="L336" i="8"/>
  <c r="J337" i="8"/>
  <c r="M337" i="8" s="1"/>
  <c r="L337" i="8"/>
  <c r="J338" i="8"/>
  <c r="M338" i="8" s="1"/>
  <c r="L338" i="8"/>
  <c r="J339" i="8"/>
  <c r="M339" i="8" s="1"/>
  <c r="L339" i="8"/>
  <c r="J340" i="8"/>
  <c r="M340" i="8" s="1"/>
  <c r="L340" i="8"/>
  <c r="J341" i="8"/>
  <c r="M341" i="8" s="1"/>
  <c r="L341" i="8"/>
  <c r="J342" i="8"/>
  <c r="M342" i="8" s="1"/>
  <c r="L342" i="8"/>
  <c r="J343" i="8"/>
  <c r="M343" i="8" s="1"/>
  <c r="L343" i="8"/>
  <c r="J344" i="8"/>
  <c r="M344" i="8" s="1"/>
  <c r="L344" i="8"/>
  <c r="J345" i="8"/>
  <c r="M345" i="8" s="1"/>
  <c r="L345" i="8"/>
  <c r="J346" i="8"/>
  <c r="M346" i="8" s="1"/>
  <c r="L346" i="8"/>
  <c r="J347" i="8"/>
  <c r="M347" i="8" s="1"/>
  <c r="L347" i="8"/>
  <c r="J348" i="8"/>
  <c r="M348" i="8" s="1"/>
  <c r="L348" i="8"/>
  <c r="J349" i="8"/>
  <c r="M349" i="8" s="1"/>
  <c r="L349" i="8"/>
  <c r="J350" i="8"/>
  <c r="M350" i="8" s="1"/>
  <c r="L350" i="8"/>
  <c r="J351" i="8"/>
  <c r="M351" i="8" s="1"/>
  <c r="L351" i="8"/>
  <c r="J352" i="8"/>
  <c r="M352" i="8" s="1"/>
  <c r="L352" i="8"/>
  <c r="J353" i="8"/>
  <c r="M353" i="8" s="1"/>
  <c r="L353" i="8"/>
  <c r="J354" i="8"/>
  <c r="M354" i="8" s="1"/>
  <c r="L354" i="8"/>
  <c r="J355" i="8"/>
  <c r="M355" i="8" s="1"/>
  <c r="L355" i="8"/>
  <c r="J356" i="8"/>
  <c r="M356" i="8" s="1"/>
  <c r="L356" i="8"/>
  <c r="J357" i="8"/>
  <c r="M357" i="8" s="1"/>
  <c r="L357" i="8"/>
  <c r="J358" i="8"/>
  <c r="M358" i="8" s="1"/>
  <c r="L358" i="8"/>
  <c r="J359" i="8"/>
  <c r="M359" i="8" s="1"/>
  <c r="L359" i="8"/>
  <c r="J360" i="8"/>
  <c r="M360" i="8" s="1"/>
  <c r="L360" i="8"/>
  <c r="J361" i="8"/>
  <c r="M361" i="8" s="1"/>
  <c r="L361" i="8"/>
  <c r="J362" i="8"/>
  <c r="M362" i="8" s="1"/>
  <c r="L362" i="8"/>
  <c r="J363" i="8"/>
  <c r="M363" i="8" s="1"/>
  <c r="L363" i="8"/>
  <c r="J364" i="8"/>
  <c r="M364" i="8" s="1"/>
  <c r="L364" i="8"/>
  <c r="J365" i="8"/>
  <c r="M365" i="8" s="1"/>
  <c r="L365" i="8"/>
  <c r="J366" i="8"/>
  <c r="M366" i="8" s="1"/>
  <c r="L366" i="8"/>
  <c r="J367" i="8"/>
  <c r="M367" i="8" s="1"/>
  <c r="L367" i="8"/>
  <c r="J368" i="8"/>
  <c r="M368" i="8" s="1"/>
  <c r="L368" i="8"/>
  <c r="J369" i="8"/>
  <c r="M369" i="8" s="1"/>
  <c r="L369" i="8"/>
  <c r="J370" i="8"/>
  <c r="M370" i="8" s="1"/>
  <c r="L370" i="8"/>
  <c r="J371" i="8"/>
  <c r="M371" i="8" s="1"/>
  <c r="L371" i="8"/>
  <c r="J372" i="8"/>
  <c r="M372" i="8" s="1"/>
  <c r="L372" i="8"/>
  <c r="J373" i="8"/>
  <c r="M373" i="8" s="1"/>
  <c r="L373" i="8"/>
  <c r="J374" i="8"/>
  <c r="M374" i="8" s="1"/>
  <c r="L374" i="8"/>
  <c r="J375" i="8"/>
  <c r="M375" i="8" s="1"/>
  <c r="L375" i="8"/>
  <c r="J376" i="8"/>
  <c r="M376" i="8" s="1"/>
  <c r="L376" i="8"/>
  <c r="J377" i="8"/>
  <c r="M377" i="8" s="1"/>
  <c r="L377" i="8"/>
  <c r="J378" i="8"/>
  <c r="M378" i="8" s="1"/>
  <c r="L378" i="8"/>
  <c r="J379" i="8"/>
  <c r="M379" i="8" s="1"/>
  <c r="L379" i="8"/>
  <c r="J380" i="8"/>
  <c r="M380" i="8" s="1"/>
  <c r="L380" i="8"/>
  <c r="J381" i="8"/>
  <c r="M381" i="8" s="1"/>
  <c r="L381" i="8"/>
  <c r="J382" i="8"/>
  <c r="M382" i="8" s="1"/>
  <c r="L382" i="8"/>
  <c r="J383" i="8"/>
  <c r="M383" i="8" s="1"/>
  <c r="L383" i="8"/>
  <c r="J384" i="8"/>
  <c r="M384" i="8" s="1"/>
  <c r="L384" i="8"/>
  <c r="J385" i="8"/>
  <c r="M385" i="8" s="1"/>
  <c r="L385" i="8"/>
  <c r="J386" i="8"/>
  <c r="M386" i="8" s="1"/>
  <c r="L386" i="8"/>
  <c r="J387" i="8"/>
  <c r="M387" i="8" s="1"/>
  <c r="L387" i="8"/>
  <c r="J388" i="8"/>
  <c r="M388" i="8" s="1"/>
  <c r="L388" i="8"/>
  <c r="J389" i="8"/>
  <c r="M389" i="8" s="1"/>
  <c r="L389" i="8"/>
  <c r="J390" i="8"/>
  <c r="M390" i="8" s="1"/>
  <c r="L390" i="8"/>
  <c r="J391" i="8"/>
  <c r="M391" i="8" s="1"/>
  <c r="L391" i="8"/>
  <c r="J392" i="8"/>
  <c r="M392" i="8" s="1"/>
  <c r="L392" i="8"/>
  <c r="J393" i="8"/>
  <c r="M393" i="8" s="1"/>
  <c r="L393" i="8"/>
  <c r="J394" i="8"/>
  <c r="M394" i="8" s="1"/>
  <c r="L394" i="8"/>
  <c r="J395" i="8"/>
  <c r="M395" i="8" s="1"/>
  <c r="L395" i="8"/>
  <c r="J396" i="8"/>
  <c r="M396" i="8" s="1"/>
  <c r="L396" i="8"/>
  <c r="J397" i="8"/>
  <c r="M397" i="8" s="1"/>
  <c r="L397" i="8"/>
  <c r="J398" i="8"/>
  <c r="M398" i="8" s="1"/>
  <c r="L398" i="8"/>
  <c r="J399" i="8"/>
  <c r="M399" i="8" s="1"/>
  <c r="L399" i="8"/>
  <c r="J400" i="8"/>
  <c r="M400" i="8" s="1"/>
  <c r="L400" i="8"/>
  <c r="J401" i="8"/>
  <c r="M401" i="8" s="1"/>
  <c r="L401" i="8"/>
  <c r="J402" i="8"/>
  <c r="M402" i="8" s="1"/>
  <c r="L402" i="8"/>
  <c r="J403" i="8"/>
  <c r="M403" i="8" s="1"/>
  <c r="L403" i="8"/>
  <c r="J404" i="8"/>
  <c r="M404" i="8" s="1"/>
  <c r="L404" i="8"/>
  <c r="J405" i="8"/>
  <c r="M405" i="8" s="1"/>
  <c r="L405" i="8"/>
  <c r="J406" i="8"/>
  <c r="M406" i="8" s="1"/>
  <c r="L406" i="8"/>
  <c r="J407" i="8"/>
  <c r="M407" i="8" s="1"/>
  <c r="L407" i="8"/>
  <c r="J408" i="8"/>
  <c r="M408" i="8" s="1"/>
  <c r="L408" i="8"/>
  <c r="J409" i="8"/>
  <c r="M409" i="8" s="1"/>
  <c r="L409" i="8"/>
  <c r="J410" i="8"/>
  <c r="M410" i="8" s="1"/>
  <c r="L410" i="8"/>
  <c r="J411" i="8"/>
  <c r="M411" i="8" s="1"/>
  <c r="L411" i="8"/>
  <c r="J412" i="8"/>
  <c r="M412" i="8" s="1"/>
  <c r="L412" i="8"/>
  <c r="J413" i="8"/>
  <c r="M413" i="8" s="1"/>
  <c r="L413" i="8"/>
  <c r="J414" i="8"/>
  <c r="M414" i="8" s="1"/>
  <c r="L414" i="8"/>
  <c r="J415" i="8"/>
  <c r="M415" i="8" s="1"/>
  <c r="L415" i="8"/>
  <c r="J416" i="8"/>
  <c r="M416" i="8" s="1"/>
  <c r="L416" i="8"/>
  <c r="J417" i="8"/>
  <c r="M417" i="8" s="1"/>
  <c r="L417" i="8"/>
  <c r="J418" i="8"/>
  <c r="M418" i="8" s="1"/>
  <c r="L418" i="8"/>
  <c r="J419" i="8"/>
  <c r="M419" i="8" s="1"/>
  <c r="L419" i="8"/>
  <c r="J420" i="8"/>
  <c r="M420" i="8" s="1"/>
  <c r="L420" i="8"/>
  <c r="J421" i="8"/>
  <c r="M421" i="8" s="1"/>
  <c r="L421" i="8"/>
  <c r="J422" i="8"/>
  <c r="M422" i="8" s="1"/>
  <c r="L422" i="8"/>
  <c r="J423" i="8"/>
  <c r="M423" i="8" s="1"/>
  <c r="L423" i="8"/>
  <c r="J424" i="8"/>
  <c r="M424" i="8" s="1"/>
  <c r="L424" i="8"/>
  <c r="J425" i="8"/>
  <c r="M425" i="8" s="1"/>
  <c r="L425" i="8"/>
  <c r="J426" i="8"/>
  <c r="M426" i="8" s="1"/>
  <c r="L426" i="8"/>
  <c r="J427" i="8"/>
  <c r="M427" i="8" s="1"/>
  <c r="L427" i="8"/>
  <c r="J428" i="8"/>
  <c r="M428" i="8" s="1"/>
  <c r="L428" i="8"/>
  <c r="J429" i="8"/>
  <c r="M429" i="8" s="1"/>
  <c r="L429" i="8"/>
  <c r="J430" i="8"/>
  <c r="M430" i="8" s="1"/>
  <c r="L430" i="8"/>
  <c r="J431" i="8"/>
  <c r="M431" i="8" s="1"/>
  <c r="L431" i="8"/>
  <c r="J432" i="8"/>
  <c r="M432" i="8" s="1"/>
  <c r="L432" i="8"/>
  <c r="J433" i="8"/>
  <c r="M433" i="8" s="1"/>
  <c r="L433" i="8"/>
  <c r="J434" i="8"/>
  <c r="M434" i="8" s="1"/>
  <c r="L434" i="8"/>
  <c r="J435" i="8"/>
  <c r="M435" i="8" s="1"/>
  <c r="L435" i="8"/>
  <c r="J436" i="8"/>
  <c r="M436" i="8" s="1"/>
  <c r="L436" i="8"/>
  <c r="J437" i="8"/>
  <c r="M437" i="8" s="1"/>
  <c r="L437" i="8"/>
  <c r="J438" i="8"/>
  <c r="M438" i="8" s="1"/>
  <c r="L438" i="8"/>
  <c r="J439" i="8"/>
  <c r="M439" i="8" s="1"/>
  <c r="L439" i="8"/>
  <c r="J440" i="8"/>
  <c r="M440" i="8" s="1"/>
  <c r="L440" i="8"/>
  <c r="J441" i="8"/>
  <c r="M441" i="8" s="1"/>
  <c r="L441" i="8"/>
  <c r="J442" i="8"/>
  <c r="M442" i="8" s="1"/>
  <c r="L442" i="8"/>
  <c r="J443" i="8"/>
  <c r="M443" i="8" s="1"/>
  <c r="L443" i="8"/>
  <c r="J444" i="8"/>
  <c r="M444" i="8" s="1"/>
  <c r="L444" i="8"/>
  <c r="J445" i="8"/>
  <c r="M445" i="8" s="1"/>
  <c r="L445" i="8"/>
  <c r="J446" i="8"/>
  <c r="M446" i="8" s="1"/>
  <c r="L446" i="8"/>
  <c r="J447" i="8"/>
  <c r="M447" i="8" s="1"/>
  <c r="L447" i="8"/>
  <c r="J448" i="8"/>
  <c r="M448" i="8" s="1"/>
  <c r="L448" i="8"/>
  <c r="J449" i="8"/>
  <c r="M449" i="8" s="1"/>
  <c r="L449" i="8"/>
  <c r="J450" i="8"/>
  <c r="M450" i="8" s="1"/>
  <c r="L450" i="8"/>
  <c r="J451" i="8"/>
  <c r="M451" i="8" s="1"/>
  <c r="L451" i="8"/>
  <c r="J452" i="8"/>
  <c r="M452" i="8" s="1"/>
  <c r="L452" i="8"/>
  <c r="J453" i="8"/>
  <c r="M453" i="8" s="1"/>
  <c r="L453" i="8"/>
  <c r="J454" i="8"/>
  <c r="M454" i="8" s="1"/>
  <c r="L454" i="8"/>
  <c r="J455" i="8"/>
  <c r="M455" i="8" s="1"/>
  <c r="L455" i="8"/>
  <c r="J456" i="8"/>
  <c r="M456" i="8" s="1"/>
  <c r="L456" i="8"/>
  <c r="J457" i="8"/>
  <c r="M457" i="8" s="1"/>
  <c r="L457" i="8"/>
  <c r="J458" i="8"/>
  <c r="M458" i="8" s="1"/>
  <c r="L458" i="8"/>
  <c r="J459" i="8"/>
  <c r="M459" i="8" s="1"/>
  <c r="L459" i="8"/>
  <c r="J460" i="8"/>
  <c r="M460" i="8" s="1"/>
  <c r="L460" i="8"/>
  <c r="J461" i="8"/>
  <c r="M461" i="8" s="1"/>
  <c r="L461" i="8"/>
  <c r="J462" i="8"/>
  <c r="M462" i="8" s="1"/>
  <c r="L462" i="8"/>
  <c r="J463" i="8"/>
  <c r="M463" i="8" s="1"/>
  <c r="L463" i="8"/>
  <c r="J464" i="8"/>
  <c r="M464" i="8" s="1"/>
  <c r="L464" i="8"/>
  <c r="J465" i="8"/>
  <c r="M465" i="8" s="1"/>
  <c r="L465" i="8"/>
  <c r="J466" i="8"/>
  <c r="M466" i="8" s="1"/>
  <c r="L466" i="8"/>
  <c r="J467" i="8"/>
  <c r="M467" i="8" s="1"/>
  <c r="L467" i="8"/>
  <c r="J468" i="8"/>
  <c r="M468" i="8" s="1"/>
  <c r="L468" i="8"/>
  <c r="J469" i="8"/>
  <c r="M469" i="8" s="1"/>
  <c r="L469" i="8"/>
  <c r="J470" i="8"/>
  <c r="M470" i="8" s="1"/>
  <c r="L470" i="8"/>
  <c r="J471" i="8"/>
  <c r="M471" i="8" s="1"/>
  <c r="L471" i="8"/>
  <c r="J472" i="8"/>
  <c r="M472" i="8" s="1"/>
  <c r="L472" i="8"/>
  <c r="J473" i="8"/>
  <c r="M473" i="8" s="1"/>
  <c r="L473" i="8"/>
  <c r="J474" i="8"/>
  <c r="M474" i="8" s="1"/>
  <c r="L474" i="8"/>
  <c r="J475" i="8"/>
  <c r="M475" i="8" s="1"/>
  <c r="L475" i="8"/>
  <c r="J476" i="8"/>
  <c r="M476" i="8" s="1"/>
  <c r="L476" i="8"/>
  <c r="J477" i="8"/>
  <c r="M477" i="8" s="1"/>
  <c r="L477" i="8"/>
  <c r="J478" i="8"/>
  <c r="M478" i="8" s="1"/>
  <c r="L478" i="8"/>
  <c r="J479" i="8"/>
  <c r="M479" i="8" s="1"/>
  <c r="L479" i="8"/>
  <c r="J480" i="8"/>
  <c r="M480" i="8" s="1"/>
  <c r="L480" i="8"/>
  <c r="J481" i="8"/>
  <c r="M481" i="8" s="1"/>
  <c r="L481" i="8"/>
  <c r="J482" i="8"/>
  <c r="M482" i="8" s="1"/>
  <c r="L482" i="8"/>
  <c r="J483" i="8"/>
  <c r="M483" i="8" s="1"/>
  <c r="L483" i="8"/>
  <c r="J484" i="8"/>
  <c r="M484" i="8" s="1"/>
  <c r="L484" i="8"/>
  <c r="J485" i="8"/>
  <c r="M485" i="8" s="1"/>
  <c r="L485" i="8"/>
  <c r="J486" i="8"/>
  <c r="M486" i="8" s="1"/>
  <c r="L486" i="8"/>
  <c r="J487" i="8"/>
  <c r="M487" i="8" s="1"/>
  <c r="L487" i="8"/>
  <c r="J488" i="8"/>
  <c r="M488" i="8" s="1"/>
  <c r="J489" i="8"/>
  <c r="M489" i="8" s="1"/>
  <c r="J490" i="8"/>
  <c r="M490" i="8" s="1"/>
  <c r="J491" i="8"/>
  <c r="M491" i="8" s="1"/>
  <c r="J492" i="8"/>
  <c r="M492" i="8" s="1"/>
  <c r="J493" i="8"/>
  <c r="M493" i="8" s="1"/>
  <c r="J494" i="8"/>
  <c r="M494" i="8" s="1"/>
  <c r="J495" i="8"/>
  <c r="M495" i="8" s="1"/>
  <c r="J496" i="8"/>
  <c r="M496" i="8" s="1"/>
  <c r="J497" i="8"/>
  <c r="M497" i="8" s="1"/>
  <c r="J498" i="8"/>
  <c r="M498" i="8" s="1"/>
  <c r="J499" i="8"/>
  <c r="M499" i="8" s="1"/>
  <c r="J500" i="8"/>
  <c r="M500" i="8" s="1"/>
  <c r="J501" i="8"/>
  <c r="M501" i="8" s="1"/>
  <c r="J502" i="8"/>
  <c r="M502" i="8" s="1"/>
  <c r="J503" i="8"/>
  <c r="M503" i="8" s="1"/>
  <c r="J504" i="8"/>
  <c r="M504" i="8" s="1"/>
  <c r="J505" i="8"/>
  <c r="M505" i="8" s="1"/>
  <c r="J506" i="8"/>
  <c r="M506" i="8" s="1"/>
  <c r="J507" i="8"/>
  <c r="M507" i="8" s="1"/>
  <c r="J508" i="8"/>
  <c r="M508" i="8" s="1"/>
  <c r="J509" i="8"/>
  <c r="M509" i="8" s="1"/>
  <c r="J510" i="8"/>
  <c r="M510" i="8" s="1"/>
  <c r="J511" i="8"/>
  <c r="M511" i="8" s="1"/>
  <c r="J512" i="8"/>
  <c r="M512" i="8" s="1"/>
  <c r="J513" i="8"/>
  <c r="M513" i="8" s="1"/>
  <c r="J514" i="8"/>
  <c r="M514" i="8" s="1"/>
  <c r="J24" i="8"/>
  <c r="N187" i="8" l="1"/>
  <c r="N188" i="8"/>
  <c r="N37" i="8"/>
  <c r="N39" i="8"/>
  <c r="N42" i="8"/>
  <c r="N43" i="8"/>
  <c r="N44" i="8"/>
  <c r="N57" i="8"/>
  <c r="N58" i="8"/>
  <c r="N59" i="8"/>
  <c r="N60" i="8"/>
  <c r="N61" i="8"/>
  <c r="N62" i="8"/>
  <c r="N63" i="8"/>
  <c r="N64" i="8"/>
  <c r="N65" i="8"/>
  <c r="N79" i="8"/>
  <c r="N92" i="8"/>
  <c r="N93" i="8"/>
  <c r="N103" i="8" l="1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L233" i="8"/>
  <c r="M233" i="8" s="1"/>
  <c r="N216" i="8"/>
  <c r="N217" i="8"/>
  <c r="N218" i="8"/>
  <c r="L234" i="8"/>
  <c r="M234" i="8" s="1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 l="1"/>
  <c r="L260" i="8"/>
  <c r="L261" i="8"/>
  <c r="L262" i="8"/>
  <c r="L263" i="8"/>
  <c r="L264" i="8"/>
  <c r="N219" i="8" l="1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O254" i="8" l="1"/>
  <c r="O236" i="8"/>
  <c r="O255" i="8"/>
  <c r="O247" i="8"/>
  <c r="O240" i="8"/>
  <c r="O242" i="8"/>
  <c r="O239" i="8"/>
  <c r="O233" i="8"/>
  <c r="O248" i="8"/>
  <c r="O238" i="8"/>
  <c r="O234" i="8"/>
  <c r="O245" i="8"/>
  <c r="O250" i="8"/>
  <c r="O251" i="8"/>
  <c r="O241" i="8"/>
  <c r="O235" i="8"/>
  <c r="O249" i="8"/>
  <c r="O252" i="8"/>
  <c r="O246" i="8"/>
  <c r="O237" i="8"/>
  <c r="O253" i="8"/>
  <c r="O243" i="8"/>
  <c r="O257" i="8"/>
  <c r="O256" i="8"/>
  <c r="O258" i="8"/>
  <c r="O244" i="8"/>
  <c r="D32" i="8" l="1"/>
  <c r="D33" i="8"/>
  <c r="D31" i="8"/>
  <c r="D34" i="8"/>
  <c r="D47" i="8"/>
  <c r="L47" i="8" s="1"/>
  <c r="M47" i="8" s="1"/>
  <c r="D48" i="8"/>
  <c r="L48" i="8" s="1"/>
  <c r="M48" i="8" s="1"/>
  <c r="D46" i="8"/>
  <c r="L46" i="8" s="1"/>
  <c r="M46" i="8" s="1"/>
  <c r="D45" i="8"/>
  <c r="L45" i="8" s="1"/>
  <c r="M45" i="8" s="1"/>
  <c r="D25" i="8"/>
  <c r="G25" i="8" s="1"/>
  <c r="D29" i="8"/>
  <c r="D28" i="8"/>
  <c r="D27" i="8"/>
  <c r="D26" i="8"/>
  <c r="G26" i="8" s="1"/>
  <c r="D30" i="8"/>
  <c r="D44" i="8"/>
  <c r="L44" i="8" s="1"/>
  <c r="M44" i="8" s="1"/>
  <c r="D42" i="8"/>
  <c r="L42" i="8" s="1"/>
  <c r="M42" i="8" s="1"/>
  <c r="D41" i="8"/>
  <c r="L41" i="8" s="1"/>
  <c r="M41" i="8" s="1"/>
  <c r="D40" i="8"/>
  <c r="L40" i="8" s="1"/>
  <c r="M40" i="8" s="1"/>
  <c r="D39" i="8"/>
  <c r="L39" i="8" s="1"/>
  <c r="M39" i="8" s="1"/>
  <c r="D38" i="8"/>
  <c r="L38" i="8" s="1"/>
  <c r="M38" i="8" s="1"/>
  <c r="O38" i="8" s="1"/>
  <c r="D37" i="8"/>
  <c r="L37" i="8" s="1"/>
  <c r="M37" i="8" s="1"/>
  <c r="D43" i="8"/>
  <c r="L43" i="8" s="1"/>
  <c r="M43" i="8" s="1"/>
  <c r="D36" i="8"/>
  <c r="L36" i="8" s="1"/>
  <c r="M36" i="8" s="1"/>
  <c r="L35" i="8"/>
  <c r="M35" i="8" s="1"/>
  <c r="D63" i="8"/>
  <c r="D55" i="8"/>
  <c r="D54" i="8"/>
  <c r="D62" i="8"/>
  <c r="D61" i="8"/>
  <c r="D58" i="8"/>
  <c r="D60" i="8"/>
  <c r="D59" i="8"/>
  <c r="D57" i="8"/>
  <c r="D56" i="8"/>
  <c r="D24" i="8"/>
  <c r="D49" i="8"/>
  <c r="L49" i="8" s="1"/>
  <c r="M49" i="8" s="1"/>
  <c r="D50" i="8"/>
  <c r="M50" i="8" s="1"/>
  <c r="D53" i="8"/>
  <c r="D51" i="8"/>
  <c r="M51" i="8" s="1"/>
  <c r="D52" i="8"/>
  <c r="L158" i="8"/>
  <c r="M158" i="8" s="1"/>
  <c r="L159" i="8"/>
  <c r="M159" i="8" s="1"/>
  <c r="L157" i="8"/>
  <c r="M157" i="8" s="1"/>
  <c r="D488" i="8"/>
  <c r="L488" i="8" s="1"/>
  <c r="O488" i="8"/>
  <c r="D489" i="8"/>
  <c r="L489" i="8" s="1"/>
  <c r="O489" i="8"/>
  <c r="D490" i="8"/>
  <c r="L490" i="8" s="1"/>
  <c r="O490" i="8"/>
  <c r="D491" i="8"/>
  <c r="L491" i="8" s="1"/>
  <c r="O491" i="8"/>
  <c r="D492" i="8"/>
  <c r="L492" i="8" s="1"/>
  <c r="O492" i="8"/>
  <c r="D493" i="8"/>
  <c r="L493" i="8" s="1"/>
  <c r="O493" i="8"/>
  <c r="D494" i="8"/>
  <c r="L494" i="8" s="1"/>
  <c r="O494" i="8"/>
  <c r="D495" i="8"/>
  <c r="L495" i="8" s="1"/>
  <c r="O495" i="8"/>
  <c r="D496" i="8"/>
  <c r="L496" i="8" s="1"/>
  <c r="O496" i="8"/>
  <c r="D497" i="8"/>
  <c r="L497" i="8" s="1"/>
  <c r="O497" i="8"/>
  <c r="D498" i="8"/>
  <c r="L498" i="8" s="1"/>
  <c r="O498" i="8"/>
  <c r="D499" i="8"/>
  <c r="L499" i="8" s="1"/>
  <c r="O499" i="8"/>
  <c r="D500" i="8"/>
  <c r="L500" i="8" s="1"/>
  <c r="O500" i="8"/>
  <c r="D501" i="8"/>
  <c r="L501" i="8" s="1"/>
  <c r="O501" i="8"/>
  <c r="D502" i="8"/>
  <c r="L502" i="8" s="1"/>
  <c r="O502" i="8"/>
  <c r="D503" i="8"/>
  <c r="L503" i="8" s="1"/>
  <c r="O503" i="8"/>
  <c r="D504" i="8"/>
  <c r="L504" i="8" s="1"/>
  <c r="O504" i="8"/>
  <c r="D505" i="8"/>
  <c r="L505" i="8" s="1"/>
  <c r="O505" i="8"/>
  <c r="D506" i="8"/>
  <c r="L506" i="8" s="1"/>
  <c r="O506" i="8"/>
  <c r="D507" i="8"/>
  <c r="L507" i="8" s="1"/>
  <c r="O507" i="8"/>
  <c r="D508" i="8"/>
  <c r="L508" i="8" s="1"/>
  <c r="O508" i="8"/>
  <c r="D509" i="8"/>
  <c r="L509" i="8" s="1"/>
  <c r="O509" i="8"/>
  <c r="D510" i="8"/>
  <c r="L510" i="8" s="1"/>
  <c r="O510" i="8"/>
  <c r="D511" i="8"/>
  <c r="L511" i="8" s="1"/>
  <c r="O511" i="8"/>
  <c r="D512" i="8"/>
  <c r="L512" i="8" s="1"/>
  <c r="O512" i="8"/>
  <c r="D513" i="8"/>
  <c r="L513" i="8" s="1"/>
  <c r="O513" i="8"/>
  <c r="D514" i="8"/>
  <c r="L514" i="8" s="1"/>
  <c r="O514" i="8"/>
  <c r="D515" i="8"/>
  <c r="O515" i="8"/>
  <c r="D516" i="8"/>
  <c r="O516" i="8"/>
  <c r="D517" i="8"/>
  <c r="O517" i="8"/>
  <c r="D518" i="8"/>
  <c r="O518" i="8"/>
  <c r="D519" i="8"/>
  <c r="O519" i="8"/>
  <c r="D520" i="8"/>
  <c r="O520" i="8"/>
  <c r="D521" i="8"/>
  <c r="O521" i="8"/>
  <c r="D522" i="8"/>
  <c r="O522" i="8"/>
  <c r="D523" i="8"/>
  <c r="O523" i="8"/>
  <c r="D524" i="8"/>
  <c r="O524" i="8"/>
  <c r="D525" i="8"/>
  <c r="O525" i="8"/>
  <c r="D526" i="8"/>
  <c r="O526" i="8"/>
  <c r="G24" i="8" l="1"/>
  <c r="D22" i="8"/>
  <c r="L30" i="8"/>
  <c r="M30" i="8" s="1"/>
  <c r="O30" i="8" s="1"/>
  <c r="G22" i="8"/>
  <c r="H22" i="8" s="1"/>
  <c r="L32" i="8"/>
  <c r="M32" i="8" s="1"/>
  <c r="L31" i="8"/>
  <c r="M31" i="8" s="1"/>
  <c r="L29" i="8"/>
  <c r="M29" i="8" s="1"/>
  <c r="O29" i="8" s="1"/>
  <c r="L34" i="8"/>
  <c r="M34" i="8" s="1"/>
  <c r="L33" i="8"/>
  <c r="M33" i="8" s="1"/>
  <c r="O33" i="8" s="1"/>
  <c r="L26" i="8"/>
  <c r="M26" i="8" s="1"/>
  <c r="O26" i="8" s="1"/>
  <c r="L25" i="8"/>
  <c r="M25" i="8" s="1"/>
  <c r="L27" i="8"/>
  <c r="M27" i="8" s="1"/>
  <c r="O27" i="8" s="1"/>
  <c r="L28" i="8"/>
  <c r="M28" i="8" s="1"/>
  <c r="O28" i="8" s="1"/>
  <c r="L191" i="8"/>
  <c r="M191" i="8" s="1"/>
  <c r="O191" i="8" s="1"/>
  <c r="L148" i="8"/>
  <c r="M148" i="8" s="1"/>
  <c r="O148" i="8" s="1"/>
  <c r="O112" i="8"/>
  <c r="L161" i="8"/>
  <c r="M161" i="8" s="1"/>
  <c r="O161" i="8" s="1"/>
  <c r="L179" i="8"/>
  <c r="M179" i="8" s="1"/>
  <c r="O179" i="8" s="1"/>
  <c r="L117" i="8"/>
  <c r="O117" i="8" s="1"/>
  <c r="L153" i="8"/>
  <c r="M153" i="8" s="1"/>
  <c r="O153" i="8" s="1"/>
  <c r="L163" i="8"/>
  <c r="M163" i="8" s="1"/>
  <c r="O163" i="8" s="1"/>
  <c r="L214" i="8"/>
  <c r="M214" i="8" s="1"/>
  <c r="O214" i="8" s="1"/>
  <c r="L149" i="8"/>
  <c r="M149" i="8" s="1"/>
  <c r="O149" i="8" s="1"/>
  <c r="L202" i="8"/>
  <c r="M202" i="8" s="1"/>
  <c r="O202" i="8" s="1"/>
  <c r="L119" i="8"/>
  <c r="O119" i="8" s="1"/>
  <c r="L175" i="8"/>
  <c r="M175" i="8" s="1"/>
  <c r="O175" i="8" s="1"/>
  <c r="O106" i="8"/>
  <c r="L146" i="8"/>
  <c r="M146" i="8" s="1"/>
  <c r="O146" i="8" s="1"/>
  <c r="L178" i="8"/>
  <c r="M178" i="8" s="1"/>
  <c r="O178" i="8" s="1"/>
  <c r="L213" i="8"/>
  <c r="M213" i="8" s="1"/>
  <c r="O213" i="8" s="1"/>
  <c r="L223" i="8"/>
  <c r="M223" i="8" s="1"/>
  <c r="O223" i="8" s="1"/>
  <c r="L168" i="8"/>
  <c r="M168" i="8" s="1"/>
  <c r="O168" i="8" s="1"/>
  <c r="L198" i="8"/>
  <c r="M198" i="8" s="1"/>
  <c r="O198" i="8" s="1"/>
  <c r="L133" i="8"/>
  <c r="M133" i="8" s="1"/>
  <c r="O133" i="8" s="1"/>
  <c r="L124" i="8"/>
  <c r="O124" i="8" s="1"/>
  <c r="L169" i="8"/>
  <c r="M169" i="8" s="1"/>
  <c r="O169" i="8" s="1"/>
  <c r="L187" i="8"/>
  <c r="M187" i="8" s="1"/>
  <c r="O187" i="8" s="1"/>
  <c r="L222" i="8"/>
  <c r="M222" i="8" s="1"/>
  <c r="O222" i="8" s="1"/>
  <c r="L142" i="8"/>
  <c r="M142" i="8" s="1"/>
  <c r="O142" i="8" s="1"/>
  <c r="L203" i="8"/>
  <c r="M203" i="8" s="1"/>
  <c r="O203" i="8" s="1"/>
  <c r="L188" i="8"/>
  <c r="M188" i="8" s="1"/>
  <c r="O188" i="8" s="1"/>
  <c r="L192" i="8"/>
  <c r="M192" i="8" s="1"/>
  <c r="O192" i="8" s="1"/>
  <c r="L126" i="8"/>
  <c r="O126" i="8" s="1"/>
  <c r="L118" i="8"/>
  <c r="O118" i="8" s="1"/>
  <c r="L190" i="8"/>
  <c r="M190" i="8" s="1"/>
  <c r="O190" i="8" s="1"/>
  <c r="L113" i="8"/>
  <c r="M113" i="8" s="1"/>
  <c r="O113" i="8" s="1"/>
  <c r="L206" i="8"/>
  <c r="M206" i="8" s="1"/>
  <c r="O206" i="8" s="1"/>
  <c r="L221" i="8"/>
  <c r="M221" i="8" s="1"/>
  <c r="O221" i="8" s="1"/>
  <c r="L160" i="8"/>
  <c r="M160" i="8" s="1"/>
  <c r="O160" i="8" s="1"/>
  <c r="L131" i="8"/>
  <c r="M131" i="8" s="1"/>
  <c r="O131" i="8" s="1"/>
  <c r="L205" i="8"/>
  <c r="M205" i="8" s="1"/>
  <c r="O205" i="8" s="1"/>
  <c r="L137" i="8"/>
  <c r="M137" i="8" s="1"/>
  <c r="O137" i="8" s="1"/>
  <c r="L116" i="8"/>
  <c r="O116" i="8" s="1"/>
  <c r="L219" i="8"/>
  <c r="M219" i="8" s="1"/>
  <c r="O219" i="8" s="1"/>
  <c r="L156" i="8"/>
  <c r="M156" i="8" s="1"/>
  <c r="O156" i="8" s="1"/>
  <c r="L130" i="8"/>
  <c r="O130" i="8" s="1"/>
  <c r="L147" i="8"/>
  <c r="M147" i="8" s="1"/>
  <c r="O147" i="8" s="1"/>
  <c r="L185" i="8"/>
  <c r="M185" i="8" s="1"/>
  <c r="O185" i="8" s="1"/>
  <c r="L173" i="8"/>
  <c r="M173" i="8" s="1"/>
  <c r="O173" i="8" s="1"/>
  <c r="L207" i="8"/>
  <c r="M207" i="8" s="1"/>
  <c r="O207" i="8" s="1"/>
  <c r="L228" i="8"/>
  <c r="M228" i="8" s="1"/>
  <c r="O228" i="8" s="1"/>
  <c r="L186" i="8"/>
  <c r="M186" i="8" s="1"/>
  <c r="O186" i="8" s="1"/>
  <c r="L167" i="8"/>
  <c r="M167" i="8" s="1"/>
  <c r="O167" i="8" s="1"/>
  <c r="L177" i="8"/>
  <c r="M177" i="8" s="1"/>
  <c r="O177" i="8" s="1"/>
  <c r="L208" i="8"/>
  <c r="M208" i="8" s="1"/>
  <c r="O208" i="8" s="1"/>
  <c r="L152" i="8"/>
  <c r="M152" i="8" s="1"/>
  <c r="O152" i="8" s="1"/>
  <c r="O108" i="8"/>
  <c r="L154" i="8"/>
  <c r="M154" i="8" s="1"/>
  <c r="O154" i="8" s="1"/>
  <c r="L171" i="8"/>
  <c r="M171" i="8" s="1"/>
  <c r="O171" i="8" s="1"/>
  <c r="L125" i="8"/>
  <c r="O125" i="8" s="1"/>
  <c r="L166" i="8"/>
  <c r="M166" i="8" s="1"/>
  <c r="O166" i="8" s="1"/>
  <c r="L120" i="8"/>
  <c r="O120" i="8" s="1"/>
  <c r="L210" i="8"/>
  <c r="M210" i="8" s="1"/>
  <c r="O210" i="8" s="1"/>
  <c r="L227" i="8"/>
  <c r="M227" i="8" s="1"/>
  <c r="O227" i="8" s="1"/>
  <c r="L220" i="8"/>
  <c r="M220" i="8" s="1"/>
  <c r="O220" i="8" s="1"/>
  <c r="L180" i="8"/>
  <c r="M180" i="8" s="1"/>
  <c r="O180" i="8" s="1"/>
  <c r="L182" i="8"/>
  <c r="M182" i="8" s="1"/>
  <c r="O182" i="8" s="1"/>
  <c r="L189" i="8"/>
  <c r="M189" i="8" s="1"/>
  <c r="O189" i="8" s="1"/>
  <c r="L145" i="8"/>
  <c r="M145" i="8" s="1"/>
  <c r="O145" i="8" s="1"/>
  <c r="L183" i="8"/>
  <c r="M183" i="8" s="1"/>
  <c r="O183" i="8" s="1"/>
  <c r="L136" i="8"/>
  <c r="M136" i="8" s="1"/>
  <c r="O136" i="8" s="1"/>
  <c r="L114" i="8"/>
  <c r="M114" i="8" s="1"/>
  <c r="O114" i="8" s="1"/>
  <c r="L135" i="8"/>
  <c r="M135" i="8" s="1"/>
  <c r="O135" i="8" s="1"/>
  <c r="O109" i="8"/>
  <c r="L209" i="8"/>
  <c r="M209" i="8" s="1"/>
  <c r="O209" i="8" s="1"/>
  <c r="L226" i="8"/>
  <c r="M226" i="8" s="1"/>
  <c r="O226" i="8" s="1"/>
  <c r="L115" i="8"/>
  <c r="O115" i="8" s="1"/>
  <c r="L132" i="8"/>
  <c r="M132" i="8" s="1"/>
  <c r="O132" i="8" s="1"/>
  <c r="L123" i="8"/>
  <c r="O123" i="8" s="1"/>
  <c r="L155" i="8"/>
  <c r="M155" i="8" s="1"/>
  <c r="O155" i="8" s="1"/>
  <c r="L199" i="8"/>
  <c r="M199" i="8" s="1"/>
  <c r="O199" i="8" s="1"/>
  <c r="L211" i="8"/>
  <c r="M211" i="8" s="1"/>
  <c r="O211" i="8" s="1"/>
  <c r="L224" i="8"/>
  <c r="M224" i="8" s="1"/>
  <c r="O224" i="8" s="1"/>
  <c r="O111" i="8"/>
  <c r="L134" i="8"/>
  <c r="M134" i="8" s="1"/>
  <c r="O134" i="8" s="1"/>
  <c r="O107" i="8"/>
  <c r="L225" i="8"/>
  <c r="M225" i="8" s="1"/>
  <c r="O225" i="8" s="1"/>
  <c r="L143" i="8"/>
  <c r="M143" i="8" s="1"/>
  <c r="O143" i="8" s="1"/>
  <c r="L151" i="8"/>
  <c r="M151" i="8" s="1"/>
  <c r="O151" i="8" s="1"/>
  <c r="L197" i="8"/>
  <c r="M197" i="8" s="1"/>
  <c r="O197" i="8" s="1"/>
  <c r="L200" i="8"/>
  <c r="M200" i="8" s="1"/>
  <c r="O200" i="8" s="1"/>
  <c r="L184" i="8"/>
  <c r="M184" i="8" s="1"/>
  <c r="O184" i="8" s="1"/>
  <c r="L218" i="8"/>
  <c r="M218" i="8" s="1"/>
  <c r="O218" i="8" s="1"/>
  <c r="L232" i="8"/>
  <c r="M232" i="8" s="1"/>
  <c r="O232" i="8" s="1"/>
  <c r="L164" i="8"/>
  <c r="M164" i="8" s="1"/>
  <c r="O164" i="8" s="1"/>
  <c r="L128" i="8"/>
  <c r="O128" i="8" s="1"/>
  <c r="L212" i="8"/>
  <c r="M212" i="8" s="1"/>
  <c r="O212" i="8" s="1"/>
  <c r="L195" i="8"/>
  <c r="M195" i="8" s="1"/>
  <c r="O195" i="8" s="1"/>
  <c r="L174" i="8"/>
  <c r="M174" i="8" s="1"/>
  <c r="O174" i="8" s="1"/>
  <c r="L144" i="8"/>
  <c r="M144" i="8" s="1"/>
  <c r="O144" i="8" s="1"/>
  <c r="L201" i="8"/>
  <c r="M201" i="8" s="1"/>
  <c r="O201" i="8" s="1"/>
  <c r="L193" i="8"/>
  <c r="M193" i="8" s="1"/>
  <c r="O193" i="8" s="1"/>
  <c r="L204" i="8"/>
  <c r="M204" i="8" s="1"/>
  <c r="O204" i="8" s="1"/>
  <c r="L150" i="8"/>
  <c r="M150" i="8" s="1"/>
  <c r="O150" i="8" s="1"/>
  <c r="L165" i="8"/>
  <c r="M165" i="8" s="1"/>
  <c r="O165" i="8" s="1"/>
  <c r="L217" i="8"/>
  <c r="M217" i="8" s="1"/>
  <c r="O217" i="8" s="1"/>
  <c r="L231" i="8"/>
  <c r="M231" i="8" s="1"/>
  <c r="O231" i="8" s="1"/>
  <c r="L196" i="8"/>
  <c r="M196" i="8" s="1"/>
  <c r="O196" i="8" s="1"/>
  <c r="L172" i="8"/>
  <c r="M172" i="8" s="1"/>
  <c r="O172" i="8" s="1"/>
  <c r="O110" i="8"/>
  <c r="L122" i="8"/>
  <c r="O122" i="8" s="1"/>
  <c r="L140" i="8"/>
  <c r="M140" i="8" s="1"/>
  <c r="O140" i="8" s="1"/>
  <c r="L170" i="8"/>
  <c r="M170" i="8" s="1"/>
  <c r="O170" i="8" s="1"/>
  <c r="L121" i="8"/>
  <c r="O121" i="8" s="1"/>
  <c r="L181" i="8"/>
  <c r="M181" i="8" s="1"/>
  <c r="O181" i="8" s="1"/>
  <c r="L127" i="8"/>
  <c r="O127" i="8" s="1"/>
  <c r="L216" i="8"/>
  <c r="M216" i="8" s="1"/>
  <c r="O216" i="8" s="1"/>
  <c r="L230" i="8"/>
  <c r="M230" i="8" s="1"/>
  <c r="O230" i="8" s="1"/>
  <c r="L141" i="8"/>
  <c r="M141" i="8" s="1"/>
  <c r="O141" i="8" s="1"/>
  <c r="L176" i="8"/>
  <c r="M176" i="8" s="1"/>
  <c r="O176" i="8" s="1"/>
  <c r="L194" i="8"/>
  <c r="M194" i="8" s="1"/>
  <c r="O194" i="8" s="1"/>
  <c r="L129" i="8"/>
  <c r="O129" i="8" s="1"/>
  <c r="L139" i="8"/>
  <c r="M139" i="8" s="1"/>
  <c r="O139" i="8" s="1"/>
  <c r="L162" i="8"/>
  <c r="M162" i="8" s="1"/>
  <c r="O162" i="8" s="1"/>
  <c r="L138" i="8"/>
  <c r="M138" i="8" s="1"/>
  <c r="O138" i="8" s="1"/>
  <c r="L215" i="8"/>
  <c r="M215" i="8" s="1"/>
  <c r="O215" i="8" s="1"/>
  <c r="L229" i="8"/>
  <c r="M229" i="8" s="1"/>
  <c r="O229" i="8" s="1"/>
  <c r="O59" i="8"/>
  <c r="O37" i="8"/>
  <c r="O39" i="8"/>
  <c r="O103" i="8"/>
  <c r="O65" i="8"/>
  <c r="O58" i="8"/>
  <c r="O42" i="8"/>
  <c r="O36" i="8"/>
  <c r="O93" i="8"/>
  <c r="O105" i="8"/>
  <c r="O79" i="8"/>
  <c r="O104" i="8"/>
  <c r="O57" i="8"/>
  <c r="O63" i="8"/>
  <c r="O60" i="8"/>
  <c r="O44" i="8"/>
  <c r="O43" i="8"/>
  <c r="O62" i="8"/>
  <c r="O61" i="8"/>
  <c r="O64" i="8"/>
  <c r="O92" i="8"/>
  <c r="O159" i="8"/>
  <c r="O157" i="8"/>
  <c r="O158" i="8"/>
  <c r="J515" i="8"/>
  <c r="M515" i="8" s="1"/>
  <c r="L515" i="8"/>
  <c r="J516" i="8"/>
  <c r="M516" i="8" s="1"/>
  <c r="L516" i="8"/>
  <c r="J517" i="8"/>
  <c r="M517" i="8" s="1"/>
  <c r="L517" i="8"/>
  <c r="J518" i="8"/>
  <c r="M518" i="8" s="1"/>
  <c r="L518" i="8"/>
  <c r="J519" i="8"/>
  <c r="M519" i="8" s="1"/>
  <c r="L519" i="8"/>
  <c r="J520" i="8"/>
  <c r="M520" i="8" s="1"/>
  <c r="L520" i="8"/>
  <c r="J521" i="8"/>
  <c r="M521" i="8" s="1"/>
  <c r="L521" i="8"/>
  <c r="J522" i="8"/>
  <c r="M522" i="8" s="1"/>
  <c r="L522" i="8"/>
  <c r="J523" i="8"/>
  <c r="M523" i="8" s="1"/>
  <c r="L523" i="8"/>
  <c r="J524" i="8"/>
  <c r="M524" i="8" s="1"/>
  <c r="L524" i="8"/>
  <c r="J525" i="8"/>
  <c r="M525" i="8" s="1"/>
  <c r="L525" i="8"/>
  <c r="J526" i="8"/>
  <c r="M526" i="8" s="1"/>
  <c r="L526" i="8"/>
  <c r="J527" i="8"/>
  <c r="M527" i="8" s="1"/>
  <c r="L527" i="8"/>
  <c r="J528" i="8"/>
  <c r="M528" i="8" s="1"/>
  <c r="L528" i="8"/>
  <c r="J529" i="8"/>
  <c r="M529" i="8" s="1"/>
  <c r="L529" i="8"/>
  <c r="J530" i="8"/>
  <c r="M530" i="8" s="1"/>
  <c r="L530" i="8"/>
  <c r="J531" i="8"/>
  <c r="M531" i="8" s="1"/>
  <c r="L531" i="8"/>
  <c r="J532" i="8"/>
  <c r="M532" i="8" s="1"/>
  <c r="L532" i="8"/>
  <c r="J533" i="8"/>
  <c r="M533" i="8" s="1"/>
  <c r="L533" i="8"/>
  <c r="J534" i="8"/>
  <c r="M534" i="8" s="1"/>
  <c r="L534" i="8"/>
  <c r="J535" i="8"/>
  <c r="M535" i="8" s="1"/>
  <c r="L535" i="8"/>
  <c r="J536" i="8"/>
  <c r="M536" i="8" s="1"/>
  <c r="L536" i="8"/>
  <c r="J537" i="8"/>
  <c r="M537" i="8" s="1"/>
  <c r="L537" i="8"/>
  <c r="J538" i="8"/>
  <c r="M538" i="8" s="1"/>
  <c r="L538" i="8"/>
  <c r="J539" i="8"/>
  <c r="M539" i="8" s="1"/>
  <c r="L539" i="8"/>
  <c r="J540" i="8"/>
  <c r="M540" i="8" s="1"/>
  <c r="L540" i="8"/>
  <c r="J541" i="8"/>
  <c r="M541" i="8" s="1"/>
  <c r="L541" i="8"/>
  <c r="J542" i="8"/>
  <c r="M542" i="8" s="1"/>
  <c r="L542" i="8"/>
  <c r="J543" i="8"/>
  <c r="M543" i="8" s="1"/>
  <c r="L543" i="8"/>
  <c r="J544" i="8"/>
  <c r="M544" i="8" s="1"/>
  <c r="L544" i="8"/>
  <c r="J545" i="8"/>
  <c r="M545" i="8" s="1"/>
  <c r="L545" i="8"/>
  <c r="J546" i="8"/>
  <c r="M546" i="8" s="1"/>
  <c r="L546" i="8"/>
  <c r="J547" i="8"/>
  <c r="M547" i="8" s="1"/>
  <c r="L547" i="8"/>
  <c r="J548" i="8"/>
  <c r="M548" i="8" s="1"/>
  <c r="L548" i="8"/>
  <c r="J549" i="8"/>
  <c r="M549" i="8" s="1"/>
  <c r="L549" i="8"/>
  <c r="J550" i="8"/>
  <c r="M550" i="8" s="1"/>
  <c r="L550" i="8"/>
  <c r="J551" i="8"/>
  <c r="M551" i="8" s="1"/>
  <c r="L551" i="8"/>
  <c r="J552" i="8"/>
  <c r="M552" i="8" s="1"/>
  <c r="L552" i="8"/>
  <c r="J553" i="8"/>
  <c r="M553" i="8" s="1"/>
  <c r="L553" i="8"/>
  <c r="J554" i="8"/>
  <c r="M554" i="8" s="1"/>
  <c r="L554" i="8"/>
  <c r="J555" i="8"/>
  <c r="M555" i="8" s="1"/>
  <c r="L555" i="8"/>
  <c r="J556" i="8"/>
  <c r="M556" i="8" s="1"/>
  <c r="L556" i="8"/>
  <c r="J557" i="8"/>
  <c r="M557" i="8" s="1"/>
  <c r="L557" i="8"/>
  <c r="J558" i="8"/>
  <c r="M558" i="8" s="1"/>
  <c r="L558" i="8"/>
  <c r="J559" i="8"/>
  <c r="M559" i="8" s="1"/>
  <c r="L559" i="8"/>
  <c r="J560" i="8"/>
  <c r="M560" i="8" s="1"/>
  <c r="L560" i="8"/>
  <c r="J561" i="8"/>
  <c r="M561" i="8" s="1"/>
  <c r="L561" i="8"/>
  <c r="J562" i="8"/>
  <c r="M562" i="8" s="1"/>
  <c r="L562" i="8"/>
  <c r="J563" i="8"/>
  <c r="M563" i="8" s="1"/>
  <c r="L563" i="8"/>
  <c r="J564" i="8"/>
  <c r="M564" i="8" s="1"/>
  <c r="L564" i="8"/>
  <c r="J565" i="8"/>
  <c r="M565" i="8" s="1"/>
  <c r="L565" i="8"/>
  <c r="J566" i="8"/>
  <c r="M566" i="8" s="1"/>
  <c r="L566" i="8"/>
  <c r="J567" i="8"/>
  <c r="M567" i="8" s="1"/>
  <c r="L567" i="8"/>
  <c r="J568" i="8"/>
  <c r="M568" i="8" s="1"/>
  <c r="L568" i="8"/>
  <c r="J569" i="8"/>
  <c r="M569" i="8" s="1"/>
  <c r="L569" i="8"/>
  <c r="J570" i="8"/>
  <c r="M570" i="8" s="1"/>
  <c r="L570" i="8"/>
  <c r="J571" i="8"/>
  <c r="M571" i="8" s="1"/>
  <c r="L571" i="8"/>
  <c r="J572" i="8"/>
  <c r="M572" i="8" s="1"/>
  <c r="L572" i="8"/>
  <c r="J573" i="8"/>
  <c r="M573" i="8" s="1"/>
  <c r="L573" i="8"/>
  <c r="J574" i="8"/>
  <c r="M574" i="8" s="1"/>
  <c r="L574" i="8"/>
  <c r="J575" i="8"/>
  <c r="M575" i="8" s="1"/>
  <c r="L575" i="8"/>
  <c r="J576" i="8"/>
  <c r="M576" i="8" s="1"/>
  <c r="L576" i="8"/>
  <c r="J577" i="8"/>
  <c r="M577" i="8" s="1"/>
  <c r="L577" i="8"/>
  <c r="J578" i="8"/>
  <c r="M578" i="8" s="1"/>
  <c r="L578" i="8"/>
  <c r="J579" i="8"/>
  <c r="M579" i="8" s="1"/>
  <c r="L579" i="8"/>
  <c r="J580" i="8"/>
  <c r="M580" i="8" s="1"/>
  <c r="L580" i="8"/>
  <c r="J581" i="8"/>
  <c r="M581" i="8" s="1"/>
  <c r="L581" i="8"/>
  <c r="J582" i="8"/>
  <c r="M582" i="8" s="1"/>
  <c r="L582" i="8"/>
  <c r="J583" i="8"/>
  <c r="M583" i="8" s="1"/>
  <c r="L583" i="8"/>
  <c r="J584" i="8"/>
  <c r="M584" i="8" s="1"/>
  <c r="L584" i="8"/>
  <c r="J585" i="8"/>
  <c r="M585" i="8" s="1"/>
  <c r="L585" i="8"/>
  <c r="J586" i="8"/>
  <c r="M586" i="8" s="1"/>
  <c r="L586" i="8"/>
  <c r="J587" i="8"/>
  <c r="M587" i="8" s="1"/>
  <c r="L587" i="8"/>
  <c r="J588" i="8"/>
  <c r="M588" i="8" s="1"/>
  <c r="L588" i="8"/>
  <c r="J589" i="8"/>
  <c r="M589" i="8" s="1"/>
  <c r="L589" i="8"/>
  <c r="J590" i="8"/>
  <c r="M590" i="8" s="1"/>
  <c r="L590" i="8"/>
  <c r="J591" i="8"/>
  <c r="M591" i="8" s="1"/>
  <c r="L591" i="8"/>
  <c r="J592" i="8"/>
  <c r="M592" i="8" s="1"/>
  <c r="L592" i="8"/>
  <c r="J593" i="8"/>
  <c r="M593" i="8" s="1"/>
  <c r="L593" i="8"/>
  <c r="J594" i="8"/>
  <c r="M594" i="8" s="1"/>
  <c r="L594" i="8"/>
  <c r="J595" i="8"/>
  <c r="M595" i="8" s="1"/>
  <c r="L595" i="8"/>
  <c r="J596" i="8"/>
  <c r="M596" i="8" s="1"/>
  <c r="L596" i="8"/>
  <c r="J597" i="8"/>
  <c r="M597" i="8" s="1"/>
  <c r="L597" i="8"/>
  <c r="J598" i="8"/>
  <c r="M598" i="8" s="1"/>
  <c r="L598" i="8"/>
  <c r="J599" i="8"/>
  <c r="M599" i="8" s="1"/>
  <c r="L599" i="8"/>
  <c r="J600" i="8"/>
  <c r="M600" i="8" s="1"/>
  <c r="L600" i="8"/>
  <c r="J601" i="8"/>
  <c r="M601" i="8" s="1"/>
  <c r="L601" i="8"/>
  <c r="J602" i="8"/>
  <c r="M602" i="8" s="1"/>
  <c r="L602" i="8"/>
  <c r="J603" i="8"/>
  <c r="M603" i="8" s="1"/>
  <c r="L603" i="8"/>
  <c r="J604" i="8"/>
  <c r="M604" i="8" s="1"/>
  <c r="L604" i="8"/>
  <c r="J605" i="8"/>
  <c r="M605" i="8" s="1"/>
  <c r="L605" i="8"/>
  <c r="J606" i="8"/>
  <c r="M606" i="8" s="1"/>
  <c r="L606" i="8"/>
  <c r="J607" i="8"/>
  <c r="M607" i="8" s="1"/>
  <c r="L607" i="8"/>
  <c r="J608" i="8"/>
  <c r="M608" i="8" s="1"/>
  <c r="L608" i="8"/>
  <c r="J609" i="8"/>
  <c r="M609" i="8" s="1"/>
  <c r="L609" i="8"/>
  <c r="J610" i="8"/>
  <c r="M610" i="8" s="1"/>
  <c r="L610" i="8"/>
  <c r="J611" i="8"/>
  <c r="M611" i="8" s="1"/>
  <c r="L611" i="8"/>
  <c r="J612" i="8"/>
  <c r="M612" i="8" s="1"/>
  <c r="L612" i="8"/>
  <c r="J613" i="8"/>
  <c r="M613" i="8" s="1"/>
  <c r="L613" i="8"/>
  <c r="J614" i="8"/>
  <c r="M614" i="8" s="1"/>
  <c r="L614" i="8"/>
  <c r="J615" i="8"/>
  <c r="M615" i="8" s="1"/>
  <c r="L615" i="8"/>
  <c r="J616" i="8"/>
  <c r="M616" i="8" s="1"/>
  <c r="L616" i="8"/>
  <c r="J617" i="8"/>
  <c r="M617" i="8" s="1"/>
  <c r="L617" i="8"/>
  <c r="J618" i="8"/>
  <c r="M618" i="8" s="1"/>
  <c r="L618" i="8"/>
  <c r="J619" i="8"/>
  <c r="M619" i="8" s="1"/>
  <c r="L619" i="8"/>
  <c r="J620" i="8"/>
  <c r="M620" i="8" s="1"/>
  <c r="L620" i="8"/>
  <c r="J621" i="8"/>
  <c r="M621" i="8" s="1"/>
  <c r="L621" i="8"/>
  <c r="J622" i="8"/>
  <c r="M622" i="8" s="1"/>
  <c r="L622" i="8"/>
  <c r="J623" i="8"/>
  <c r="M623" i="8" s="1"/>
  <c r="L623" i="8"/>
  <c r="J624" i="8"/>
  <c r="M624" i="8" s="1"/>
  <c r="L624" i="8"/>
  <c r="J625" i="8"/>
  <c r="M625" i="8" s="1"/>
  <c r="L625" i="8"/>
  <c r="J626" i="8"/>
  <c r="M626" i="8" s="1"/>
  <c r="L626" i="8"/>
  <c r="J627" i="8"/>
  <c r="M627" i="8" s="1"/>
  <c r="L627" i="8"/>
  <c r="J628" i="8"/>
  <c r="M628" i="8" s="1"/>
  <c r="L628" i="8"/>
  <c r="J629" i="8"/>
  <c r="M629" i="8" s="1"/>
  <c r="L629" i="8"/>
  <c r="J630" i="8"/>
  <c r="M630" i="8" s="1"/>
  <c r="L630" i="8"/>
  <c r="J631" i="8"/>
  <c r="M631" i="8" s="1"/>
  <c r="L631" i="8"/>
  <c r="J632" i="8"/>
  <c r="M632" i="8" s="1"/>
  <c r="L632" i="8"/>
  <c r="J633" i="8"/>
  <c r="M633" i="8" s="1"/>
  <c r="L633" i="8"/>
  <c r="J634" i="8"/>
  <c r="M634" i="8" s="1"/>
  <c r="L634" i="8"/>
  <c r="J635" i="8"/>
  <c r="M635" i="8" s="1"/>
  <c r="L635" i="8"/>
  <c r="J636" i="8"/>
  <c r="M636" i="8" s="1"/>
  <c r="L636" i="8"/>
  <c r="J637" i="8"/>
  <c r="M637" i="8" s="1"/>
  <c r="L637" i="8"/>
  <c r="J638" i="8"/>
  <c r="M638" i="8" s="1"/>
  <c r="L638" i="8"/>
  <c r="J639" i="8"/>
  <c r="M639" i="8" s="1"/>
  <c r="L639" i="8"/>
  <c r="J640" i="8"/>
  <c r="M640" i="8" s="1"/>
  <c r="L640" i="8"/>
  <c r="J641" i="8"/>
  <c r="M641" i="8" s="1"/>
  <c r="L641" i="8"/>
  <c r="J642" i="8"/>
  <c r="M642" i="8" s="1"/>
  <c r="L642" i="8"/>
  <c r="J643" i="8"/>
  <c r="M643" i="8" s="1"/>
  <c r="L643" i="8"/>
  <c r="J644" i="8"/>
  <c r="M644" i="8" s="1"/>
  <c r="L644" i="8"/>
  <c r="J645" i="8"/>
  <c r="M645" i="8" s="1"/>
  <c r="L645" i="8"/>
  <c r="J646" i="8"/>
  <c r="M646" i="8" s="1"/>
  <c r="L646" i="8"/>
  <c r="J647" i="8"/>
  <c r="M647" i="8" s="1"/>
  <c r="L647" i="8"/>
  <c r="J648" i="8"/>
  <c r="M648" i="8" s="1"/>
  <c r="L648" i="8"/>
  <c r="J649" i="8"/>
  <c r="M649" i="8" s="1"/>
  <c r="L649" i="8"/>
  <c r="J650" i="8"/>
  <c r="M650" i="8" s="1"/>
  <c r="L650" i="8"/>
  <c r="J651" i="8"/>
  <c r="M651" i="8" s="1"/>
  <c r="L651" i="8"/>
  <c r="J652" i="8"/>
  <c r="M652" i="8" s="1"/>
  <c r="L652" i="8"/>
  <c r="J653" i="8"/>
  <c r="M653" i="8" s="1"/>
  <c r="L653" i="8"/>
  <c r="J654" i="8"/>
  <c r="M654" i="8" s="1"/>
  <c r="L654" i="8"/>
  <c r="J655" i="8"/>
  <c r="M655" i="8" s="1"/>
  <c r="L655" i="8"/>
  <c r="L24" i="8" l="1"/>
  <c r="M24" i="8" s="1"/>
  <c r="A7" i="8"/>
  <c r="O24" i="8" l="1"/>
  <c r="A18" i="8" s="1"/>
</calcChain>
</file>

<file path=xl/comments1.xml><?xml version="1.0" encoding="utf-8"?>
<comments xmlns="http://schemas.openxmlformats.org/spreadsheetml/2006/main">
  <authors>
    <author>USER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1~100      </t>
        </r>
        <r>
          <rPr>
            <sz val="9"/>
            <color indexed="81"/>
            <rFont val="細明體"/>
            <family val="3"/>
            <charset val="136"/>
          </rPr>
          <t>測試用編號不可釋出
101~200   抽卡重複品項替換項目
201~300   角色來電獎勵
301~400　 引導與教學相關
1001~3000 生涯等級寶箱
3001~5000 成就複合獎勵
10001~20000 抽卡福袋
20001~30000 活動虛寶
30001~40000 刮刮卡
40001~50000 金板禮包
50001~60000 直購禮包_Google
60001~70000 直購禮包_iOS</t>
        </r>
      </text>
    </comment>
  </commentList>
</comments>
</file>

<file path=xl/sharedStrings.xml><?xml version="1.0" encoding="utf-8"?>
<sst xmlns="http://schemas.openxmlformats.org/spreadsheetml/2006/main" count="1822" uniqueCount="943">
  <si>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</si>
  <si>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</si>
  <si>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</si>
  <si>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</si>
  <si>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</si>
  <si>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</si>
  <si>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</si>
  <si>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</si>
  <si>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</si>
  <si>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</si>
  <si>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</si>
  <si>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</si>
  <si>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</si>
  <si>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</si>
  <si>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</si>
  <si>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</si>
  <si>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</si>
  <si>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</si>
  <si>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</si>
  <si>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</si>
  <si>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</si>
  <si>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</si>
  <si>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</si>
  <si>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</si>
  <si>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</si>
  <si>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</si>
  <si>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</si>
  <si>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</si>
  <si>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</si>
  <si>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</si>
  <si>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</si>
  <si>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</si>
  <si>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</si>
  <si>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</si>
  <si>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</si>
  <si>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</si>
  <si>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</si>
  <si>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</si>
  <si>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</si>
  <si>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</si>
  <si>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</si>
  <si>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</si>
  <si>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</si>
  <si>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</si>
  <si>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</si>
  <si>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</si>
  <si>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</si>
  <si>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</si>
  <si>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</si>
  <si>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</si>
  <si>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</si>
  <si>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</si>
  <si>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</si>
  <si>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</si>
  <si>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</si>
  <si>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</si>
  <si>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</si>
  <si>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</si>
  <si>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</si>
  <si>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</si>
  <si>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</si>
  <si>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</si>
  <si>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</si>
  <si>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</si>
  <si>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</si>
  <si>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</si>
  <si>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</si>
  <si>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</si>
  <si>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</si>
  <si>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</si>
  <si>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</si>
  <si>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</si>
  <si>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</si>
  <si>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</si>
  <si>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</si>
  <si>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</si>
  <si>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</si>
  <si>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</si>
  <si>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</si>
  <si>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</si>
  <si>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</si>
  <si>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</si>
  <si>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說明</t>
    <phoneticPr fontId="1" type="noConversion"/>
  </si>
  <si>
    <t>名稱</t>
    <phoneticPr fontId="1" type="noConversion"/>
  </si>
  <si>
    <t>Object</t>
    <phoneticPr fontId="1" type="noConversion"/>
  </si>
  <si>
    <t>類型</t>
    <phoneticPr fontId="1" type="noConversion"/>
  </si>
  <si>
    <t>數值</t>
    <phoneticPr fontId="1" type="noConversion"/>
  </si>
  <si>
    <t>ItemValue1</t>
    <phoneticPr fontId="1" type="noConversion"/>
  </si>
  <si>
    <t>ItemValue2</t>
  </si>
  <si>
    <t>ItemType3</t>
  </si>
  <si>
    <t>ItemValue3</t>
  </si>
  <si>
    <t>ItemType4</t>
  </si>
  <si>
    <t>ItemValue4</t>
  </si>
  <si>
    <t>ItemType5</t>
  </si>
  <si>
    <t>ItemValue5</t>
  </si>
  <si>
    <t>ItemType6</t>
  </si>
  <si>
    <t>ItemValue6</t>
  </si>
  <si>
    <t>ItemType7</t>
  </si>
  <si>
    <t>ItemValue7</t>
  </si>
  <si>
    <t>ItemType8</t>
  </si>
  <si>
    <t>ItemValue8</t>
  </si>
  <si>
    <t>ItemType9</t>
  </si>
  <si>
    <t>ItemValue9</t>
  </si>
  <si>
    <t>ItemType10</t>
  </si>
  <si>
    <t>ItemValue10</t>
  </si>
  <si>
    <t>參考圖示</t>
    <phoneticPr fontId="1" type="noConversion"/>
  </si>
  <si>
    <t>Gold</t>
  </si>
  <si>
    <t>Rank</t>
    <phoneticPr fontId="1" type="noConversion"/>
  </si>
  <si>
    <t>品階</t>
    <phoneticPr fontId="1" type="noConversion"/>
  </si>
  <si>
    <t>ItemType2</t>
  </si>
  <si>
    <t>類型參數</t>
    <phoneticPr fontId="1" type="noConversion"/>
  </si>
  <si>
    <t>Type</t>
    <phoneticPr fontId="1" type="noConversion"/>
  </si>
  <si>
    <t>All</t>
    <phoneticPr fontId="1" type="noConversion"/>
  </si>
  <si>
    <t>全部獲得</t>
    <phoneticPr fontId="1" type="noConversion"/>
  </si>
  <si>
    <t>ItemType1</t>
    <phoneticPr fontId="1" type="noConversion"/>
  </si>
  <si>
    <t>權重</t>
    <phoneticPr fontId="1" type="noConversion"/>
  </si>
  <si>
    <t>ItemWeight2</t>
  </si>
  <si>
    <t>ItemWeight3</t>
  </si>
  <si>
    <t>ItemWeight4</t>
  </si>
  <si>
    <t>ItemWeight5</t>
  </si>
  <si>
    <t>ItemWeight6</t>
  </si>
  <si>
    <t>ItemWeight7</t>
  </si>
  <si>
    <t>ItemWeight8</t>
  </si>
  <si>
    <t>ItemWeight9</t>
  </si>
  <si>
    <t>ItemWeight10</t>
  </si>
  <si>
    <t>Random</t>
  </si>
  <si>
    <t>結果</t>
    <phoneticPr fontId="1" type="noConversion"/>
  </si>
  <si>
    <t>機率</t>
    <phoneticPr fontId="1" type="noConversion"/>
  </si>
  <si>
    <t>描述</t>
    <phoneticPr fontId="1" type="noConversion"/>
  </si>
  <si>
    <t>獎勵類型</t>
    <phoneticPr fontId="1" type="noConversion"/>
  </si>
  <si>
    <r>
      <t>編號</t>
    </r>
    <r>
      <rPr>
        <b/>
        <sz val="11"/>
        <color rgb="FFFF0000"/>
        <rFont val="新細明體"/>
        <family val="1"/>
        <charset val="136"/>
        <scheme val="minor"/>
      </rPr>
      <t>(原資料↓)</t>
    </r>
    <phoneticPr fontId="1" type="noConversion"/>
  </si>
  <si>
    <r>
      <t>編號</t>
    </r>
    <r>
      <rPr>
        <b/>
        <sz val="11"/>
        <color rgb="FFFF0000"/>
        <rFont val="新細明體"/>
        <family val="1"/>
        <charset val="136"/>
        <scheme val="minor"/>
      </rPr>
      <t>(新資料↓)</t>
    </r>
    <phoneticPr fontId="1" type="noConversion"/>
  </si>
  <si>
    <t>寶箱類型</t>
    <phoneticPr fontId="1" type="noConversion"/>
  </si>
  <si>
    <t>類型1</t>
    <phoneticPr fontId="1" type="noConversion"/>
  </si>
  <si>
    <t>數值1</t>
    <phoneticPr fontId="1" type="noConversion"/>
  </si>
  <si>
    <t>權重1</t>
    <phoneticPr fontId="1" type="noConversion"/>
  </si>
  <si>
    <t>類型2</t>
  </si>
  <si>
    <t>數值2</t>
  </si>
  <si>
    <t>權重2</t>
  </si>
  <si>
    <t>類型3</t>
  </si>
  <si>
    <t>數值3</t>
  </si>
  <si>
    <t>權重3</t>
  </si>
  <si>
    <t>類型4</t>
  </si>
  <si>
    <t>數值4</t>
  </si>
  <si>
    <t>權重4</t>
  </si>
  <si>
    <t>類型5</t>
  </si>
  <si>
    <t>數值5</t>
  </si>
  <si>
    <t>權重5</t>
  </si>
  <si>
    <t>類型6</t>
  </si>
  <si>
    <t>數值6</t>
  </si>
  <si>
    <t>權重6</t>
  </si>
  <si>
    <t>類型7</t>
  </si>
  <si>
    <t>數值7</t>
  </si>
  <si>
    <t>權重7</t>
  </si>
  <si>
    <t>類型8</t>
  </si>
  <si>
    <t>數值8</t>
  </si>
  <si>
    <t>權重8</t>
  </si>
  <si>
    <t>類型9</t>
  </si>
  <si>
    <t>數值9</t>
  </si>
  <si>
    <t>權重9</t>
  </si>
  <si>
    <t>類型10</t>
  </si>
  <si>
    <t>數值10</t>
  </si>
  <si>
    <t>權重10</t>
  </si>
  <si>
    <t>類型11</t>
  </si>
  <si>
    <t>數值11</t>
  </si>
  <si>
    <t>權重11</t>
  </si>
  <si>
    <t>類型12</t>
  </si>
  <si>
    <t>數值12</t>
  </si>
  <si>
    <t>權重12</t>
  </si>
  <si>
    <t>類型13</t>
  </si>
  <si>
    <t>數值13</t>
  </si>
  <si>
    <t>權重13</t>
  </si>
  <si>
    <t>類型14</t>
  </si>
  <si>
    <t>數值14</t>
  </si>
  <si>
    <t>權重14</t>
  </si>
  <si>
    <t>類型15</t>
  </si>
  <si>
    <t>數值15</t>
  </si>
  <si>
    <t>權重15</t>
  </si>
  <si>
    <t>類型16</t>
  </si>
  <si>
    <t>數值16</t>
  </si>
  <si>
    <t>權重16</t>
  </si>
  <si>
    <t>類型17</t>
  </si>
  <si>
    <t>數值17</t>
  </si>
  <si>
    <t>權重17</t>
  </si>
  <si>
    <t>類型18</t>
  </si>
  <si>
    <t>數值18</t>
  </si>
  <si>
    <t>權重18</t>
  </si>
  <si>
    <t>類型19</t>
  </si>
  <si>
    <t>數值19</t>
  </si>
  <si>
    <t>權重19</t>
  </si>
  <si>
    <t>類型20</t>
  </si>
  <si>
    <t>數值20</t>
  </si>
  <si>
    <t>權重20</t>
  </si>
  <si>
    <t>類型21</t>
  </si>
  <si>
    <t>數值21</t>
  </si>
  <si>
    <t>權重21</t>
  </si>
  <si>
    <t>類型22</t>
  </si>
  <si>
    <t>數值22</t>
  </si>
  <si>
    <t>權重22</t>
  </si>
  <si>
    <t>類型23</t>
  </si>
  <si>
    <t>數值23</t>
  </si>
  <si>
    <t>權重23</t>
  </si>
  <si>
    <t>類型24</t>
  </si>
  <si>
    <t>數值24</t>
  </si>
  <si>
    <t>權重24</t>
  </si>
  <si>
    <t>類型25</t>
  </si>
  <si>
    <t>數值25</t>
  </si>
  <si>
    <t>權重25</t>
  </si>
  <si>
    <t>類型26</t>
  </si>
  <si>
    <t>數值26</t>
  </si>
  <si>
    <t>權重26</t>
  </si>
  <si>
    <t>類型27</t>
  </si>
  <si>
    <t>數值27</t>
  </si>
  <si>
    <t>權重27</t>
  </si>
  <si>
    <t>類型28</t>
  </si>
  <si>
    <t>數值28</t>
  </si>
  <si>
    <t>權重28</t>
  </si>
  <si>
    <t>類型29</t>
  </si>
  <si>
    <t>數值29</t>
  </si>
  <si>
    <t>權重29</t>
  </si>
  <si>
    <t>類型30</t>
  </si>
  <si>
    <t>數值30</t>
  </si>
  <si>
    <t>權重30</t>
  </si>
  <si>
    <t>類型31</t>
  </si>
  <si>
    <t>數值31</t>
  </si>
  <si>
    <t>權重31</t>
  </si>
  <si>
    <t>類型32</t>
  </si>
  <si>
    <t>數值32</t>
  </si>
  <si>
    <t>權重32</t>
  </si>
  <si>
    <t>類型33</t>
  </si>
  <si>
    <t>數值33</t>
  </si>
  <si>
    <t>權重33</t>
  </si>
  <si>
    <t>類型34</t>
  </si>
  <si>
    <t>數值34</t>
  </si>
  <si>
    <t>權重34</t>
  </si>
  <si>
    <t>類型35</t>
  </si>
  <si>
    <t>數值35</t>
  </si>
  <si>
    <t>權重35</t>
  </si>
  <si>
    <t>類型36</t>
  </si>
  <si>
    <t>數值36</t>
  </si>
  <si>
    <t>權重36</t>
  </si>
  <si>
    <t>類型37</t>
  </si>
  <si>
    <t>數值37</t>
  </si>
  <si>
    <t>權重37</t>
  </si>
  <si>
    <t>類型38</t>
  </si>
  <si>
    <t>數值38</t>
  </si>
  <si>
    <t>權重38</t>
  </si>
  <si>
    <t>類型39</t>
  </si>
  <si>
    <t>數值39</t>
  </si>
  <si>
    <t>權重39</t>
  </si>
  <si>
    <t>類型40</t>
  </si>
  <si>
    <t>數值40</t>
  </si>
  <si>
    <t>權重40</t>
  </si>
  <si>
    <t>類型41</t>
  </si>
  <si>
    <t>數值41</t>
  </si>
  <si>
    <t>權重41</t>
  </si>
  <si>
    <t>類型42</t>
  </si>
  <si>
    <t>數值42</t>
  </si>
  <si>
    <t>權重42</t>
  </si>
  <si>
    <t>類型43</t>
  </si>
  <si>
    <t>數值43</t>
  </si>
  <si>
    <t>權重43</t>
  </si>
  <si>
    <t>類型44</t>
  </si>
  <si>
    <t>數值44</t>
  </si>
  <si>
    <t>權重44</t>
  </si>
  <si>
    <t>類型45</t>
  </si>
  <si>
    <t>數值45</t>
  </si>
  <si>
    <t>權重45</t>
  </si>
  <si>
    <t>類型46</t>
  </si>
  <si>
    <t>數值46</t>
  </si>
  <si>
    <t>權重46</t>
  </si>
  <si>
    <t>類型47</t>
  </si>
  <si>
    <t>數值47</t>
  </si>
  <si>
    <t>權重47</t>
  </si>
  <si>
    <t>類型48</t>
  </si>
  <si>
    <t>數值48</t>
  </si>
  <si>
    <t>權重48</t>
  </si>
  <si>
    <t>類型49</t>
  </si>
  <si>
    <t>數值49</t>
  </si>
  <si>
    <t>權重49</t>
  </si>
  <si>
    <t>類型50</t>
  </si>
  <si>
    <t>數值50</t>
  </si>
  <si>
    <t>權重50</t>
  </si>
  <si>
    <t>類型51</t>
  </si>
  <si>
    <t>數值51</t>
  </si>
  <si>
    <t>權重51</t>
  </si>
  <si>
    <t>類型52</t>
  </si>
  <si>
    <t>數值52</t>
  </si>
  <si>
    <t>權重52</t>
  </si>
  <si>
    <t>類型53</t>
  </si>
  <si>
    <t>數值53</t>
  </si>
  <si>
    <t>權重53</t>
  </si>
  <si>
    <t>類型54</t>
  </si>
  <si>
    <t>數值54</t>
  </si>
  <si>
    <t>權重54</t>
  </si>
  <si>
    <t>類型55</t>
  </si>
  <si>
    <t>數值55</t>
  </si>
  <si>
    <t>權重55</t>
  </si>
  <si>
    <t>類型56</t>
  </si>
  <si>
    <t>數值56</t>
  </si>
  <si>
    <t>權重56</t>
  </si>
  <si>
    <t>類型57</t>
  </si>
  <si>
    <t>數值57</t>
  </si>
  <si>
    <t>權重57</t>
  </si>
  <si>
    <t>類型58</t>
  </si>
  <si>
    <t>數值58</t>
  </si>
  <si>
    <t>權重58</t>
  </si>
  <si>
    <t>類型59</t>
  </si>
  <si>
    <t>數值59</t>
  </si>
  <si>
    <t>權重59</t>
  </si>
  <si>
    <t>類型60</t>
  </si>
  <si>
    <t>數值60</t>
  </si>
  <si>
    <t>權重60</t>
  </si>
  <si>
    <t>類型61</t>
  </si>
  <si>
    <t>數值61</t>
  </si>
  <si>
    <t>權重61</t>
  </si>
  <si>
    <t>類型62</t>
  </si>
  <si>
    <t>數值62</t>
  </si>
  <si>
    <t>權重62</t>
  </si>
  <si>
    <t>類型63</t>
  </si>
  <si>
    <t>數值63</t>
  </si>
  <si>
    <t>權重63</t>
  </si>
  <si>
    <t>類型64</t>
  </si>
  <si>
    <t>數值64</t>
  </si>
  <si>
    <t>權重64</t>
  </si>
  <si>
    <t>類型65</t>
  </si>
  <si>
    <t>數值65</t>
  </si>
  <si>
    <t>權重65</t>
  </si>
  <si>
    <t>類型66</t>
  </si>
  <si>
    <t>數值66</t>
  </si>
  <si>
    <t>權重66</t>
  </si>
  <si>
    <t>類型67</t>
  </si>
  <si>
    <t>數值67</t>
  </si>
  <si>
    <t>權重67</t>
  </si>
  <si>
    <t>類型68</t>
  </si>
  <si>
    <t>數值68</t>
  </si>
  <si>
    <t>權重68</t>
  </si>
  <si>
    <t>類型69</t>
  </si>
  <si>
    <t>數值69</t>
  </si>
  <si>
    <t>權重69</t>
  </si>
  <si>
    <t>類型70</t>
  </si>
  <si>
    <t>數值70</t>
  </si>
  <si>
    <t>權重70</t>
  </si>
  <si>
    <t>類型71</t>
  </si>
  <si>
    <t>數值71</t>
  </si>
  <si>
    <t>權重71</t>
  </si>
  <si>
    <t>類型72</t>
  </si>
  <si>
    <t>數值72</t>
  </si>
  <si>
    <t>權重72</t>
  </si>
  <si>
    <t>類型73</t>
  </si>
  <si>
    <t>數值73</t>
  </si>
  <si>
    <t>權重73</t>
  </si>
  <si>
    <t>類型74</t>
  </si>
  <si>
    <t>數值74</t>
  </si>
  <si>
    <t>權重74</t>
  </si>
  <si>
    <t>類型75</t>
  </si>
  <si>
    <t>數值75</t>
  </si>
  <si>
    <t>權重75</t>
  </si>
  <si>
    <t>類型76</t>
  </si>
  <si>
    <t>數值76</t>
  </si>
  <si>
    <t>權重76</t>
  </si>
  <si>
    <t>類型77</t>
  </si>
  <si>
    <t>數值77</t>
  </si>
  <si>
    <t>權重77</t>
  </si>
  <si>
    <t>類型78</t>
  </si>
  <si>
    <t>數值78</t>
  </si>
  <si>
    <t>權重78</t>
  </si>
  <si>
    <t>類型79</t>
  </si>
  <si>
    <t>數值79</t>
  </si>
  <si>
    <t>權重79</t>
  </si>
  <si>
    <t>類型80</t>
  </si>
  <si>
    <t>數值80</t>
  </si>
  <si>
    <t>權重80</t>
  </si>
  <si>
    <t>類型81</t>
  </si>
  <si>
    <t>數值81</t>
  </si>
  <si>
    <t>權重81</t>
  </si>
  <si>
    <t>類型82</t>
  </si>
  <si>
    <t>數值82</t>
  </si>
  <si>
    <t>權重82</t>
  </si>
  <si>
    <t>類型83</t>
  </si>
  <si>
    <t>數值83</t>
  </si>
  <si>
    <t>權重83</t>
  </si>
  <si>
    <t>類型84</t>
  </si>
  <si>
    <t>數值84</t>
  </si>
  <si>
    <t>權重84</t>
  </si>
  <si>
    <t>類型85</t>
  </si>
  <si>
    <t>數值85</t>
  </si>
  <si>
    <t>權重85</t>
  </si>
  <si>
    <t>類型86</t>
  </si>
  <si>
    <t>數值86</t>
  </si>
  <si>
    <t>權重86</t>
  </si>
  <si>
    <t>類型87</t>
  </si>
  <si>
    <t>數值87</t>
  </si>
  <si>
    <t>權重87</t>
  </si>
  <si>
    <t>類型88</t>
  </si>
  <si>
    <t>數值88</t>
  </si>
  <si>
    <t>權重88</t>
  </si>
  <si>
    <t>類型89</t>
  </si>
  <si>
    <t>數值89</t>
  </si>
  <si>
    <t>權重89</t>
  </si>
  <si>
    <t>類型90</t>
  </si>
  <si>
    <t>數值90</t>
  </si>
  <si>
    <t>權重90</t>
  </si>
  <si>
    <t>類型91</t>
  </si>
  <si>
    <t>數值91</t>
  </si>
  <si>
    <t>權重91</t>
  </si>
  <si>
    <t>類型92</t>
  </si>
  <si>
    <t>數值92</t>
  </si>
  <si>
    <t>權重92</t>
  </si>
  <si>
    <t>類型93</t>
  </si>
  <si>
    <t>數值93</t>
  </si>
  <si>
    <t>權重93</t>
  </si>
  <si>
    <t>類型94</t>
  </si>
  <si>
    <t>數值94</t>
  </si>
  <si>
    <t>權重94</t>
  </si>
  <si>
    <t>類型95</t>
  </si>
  <si>
    <t>數值95</t>
  </si>
  <si>
    <t>權重95</t>
  </si>
  <si>
    <t>類型96</t>
  </si>
  <si>
    <t>數值96</t>
  </si>
  <si>
    <t>權重96</t>
  </si>
  <si>
    <t>類型97</t>
  </si>
  <si>
    <t>數值97</t>
  </si>
  <si>
    <t>權重97</t>
  </si>
  <si>
    <t>類型98</t>
  </si>
  <si>
    <t>數值98</t>
  </si>
  <si>
    <t>權重98</t>
  </si>
  <si>
    <t>類型99</t>
  </si>
  <si>
    <t>數值99</t>
  </si>
  <si>
    <t>權重99</t>
  </si>
  <si>
    <t>類型100</t>
  </si>
  <si>
    <t>數值100</t>
  </si>
  <si>
    <t>權重100</t>
  </si>
  <si>
    <t>類型101</t>
  </si>
  <si>
    <t>數值101</t>
  </si>
  <si>
    <t>權重101</t>
  </si>
  <si>
    <t>類型102</t>
  </si>
  <si>
    <t>數值102</t>
  </si>
  <si>
    <t>權重102</t>
  </si>
  <si>
    <t>類型103</t>
  </si>
  <si>
    <t>數值103</t>
  </si>
  <si>
    <t>權重103</t>
  </si>
  <si>
    <t>類型104</t>
  </si>
  <si>
    <t>數值104</t>
  </si>
  <si>
    <t>權重104</t>
  </si>
  <si>
    <t>類型105</t>
  </si>
  <si>
    <t>數值105</t>
  </si>
  <si>
    <t>權重105</t>
  </si>
  <si>
    <t>類型106</t>
  </si>
  <si>
    <t>數值106</t>
  </si>
  <si>
    <t>權重106</t>
  </si>
  <si>
    <t>類型107</t>
  </si>
  <si>
    <t>數值107</t>
  </si>
  <si>
    <t>權重107</t>
  </si>
  <si>
    <t>類型108</t>
  </si>
  <si>
    <t>數值108</t>
  </si>
  <si>
    <t>權重108</t>
  </si>
  <si>
    <t>類型109</t>
  </si>
  <si>
    <t>數值109</t>
  </si>
  <si>
    <t>權重109</t>
  </si>
  <si>
    <t>類型110</t>
  </si>
  <si>
    <t>數值110</t>
  </si>
  <si>
    <t>權重110</t>
  </si>
  <si>
    <t>類型111</t>
  </si>
  <si>
    <t>數值111</t>
  </si>
  <si>
    <t>權重111</t>
  </si>
  <si>
    <t>類型112</t>
  </si>
  <si>
    <t>數值112</t>
  </si>
  <si>
    <t>權重112</t>
  </si>
  <si>
    <t>類型113</t>
  </si>
  <si>
    <t>數值113</t>
  </si>
  <si>
    <t>權重113</t>
  </si>
  <si>
    <t>類型114</t>
  </si>
  <si>
    <t>數值114</t>
  </si>
  <si>
    <t>權重114</t>
  </si>
  <si>
    <t>類型115</t>
  </si>
  <si>
    <t>數值115</t>
  </si>
  <si>
    <t>權重115</t>
  </si>
  <si>
    <t>類型116</t>
  </si>
  <si>
    <t>數值116</t>
  </si>
  <si>
    <t>權重116</t>
  </si>
  <si>
    <t>類型117</t>
  </si>
  <si>
    <t>數值117</t>
  </si>
  <si>
    <t>權重117</t>
  </si>
  <si>
    <t>類型118</t>
  </si>
  <si>
    <t>數值118</t>
  </si>
  <si>
    <t>權重118</t>
  </si>
  <si>
    <t>類型119</t>
  </si>
  <si>
    <t>數值119</t>
  </si>
  <si>
    <t>權重119</t>
  </si>
  <si>
    <t>類型120</t>
  </si>
  <si>
    <t>數值120</t>
  </si>
  <si>
    <t>權重120</t>
  </si>
  <si>
    <t>類型121</t>
  </si>
  <si>
    <t>數值121</t>
  </si>
  <si>
    <t>權重121</t>
  </si>
  <si>
    <t>類型122</t>
  </si>
  <si>
    <t>數值122</t>
  </si>
  <si>
    <t>權重122</t>
  </si>
  <si>
    <t>類型123</t>
  </si>
  <si>
    <t>數值123</t>
  </si>
  <si>
    <t>權重123</t>
  </si>
  <si>
    <t>類型124</t>
  </si>
  <si>
    <t>數值124</t>
  </si>
  <si>
    <t>權重124</t>
  </si>
  <si>
    <t>類型125</t>
  </si>
  <si>
    <t>數值125</t>
  </si>
  <si>
    <t>權重125</t>
  </si>
  <si>
    <t>類型126</t>
  </si>
  <si>
    <t>數值126</t>
  </si>
  <si>
    <t>權重126</t>
  </si>
  <si>
    <t>類型127</t>
  </si>
  <si>
    <t>數值127</t>
  </si>
  <si>
    <t>權重127</t>
  </si>
  <si>
    <t>類型128</t>
  </si>
  <si>
    <t>數值128</t>
  </si>
  <si>
    <t>權重128</t>
  </si>
  <si>
    <t>數值</t>
    <phoneticPr fontId="1" type="noConversion"/>
  </si>
  <si>
    <t>權重檢查</t>
    <phoneticPr fontId="1" type="noConversion"/>
  </si>
  <si>
    <t>資料檢查</t>
    <phoneticPr fontId="1" type="noConversion"/>
  </si>
  <si>
    <t>計數</t>
    <phoneticPr fontId="1" type="noConversion"/>
  </si>
  <si>
    <t>類型129</t>
  </si>
  <si>
    <t>數值129</t>
  </si>
  <si>
    <t>類型130</t>
  </si>
  <si>
    <t>數值130</t>
  </si>
  <si>
    <t>類型131</t>
  </si>
  <si>
    <t>數值131</t>
  </si>
  <si>
    <t>類型132</t>
  </si>
  <si>
    <t>數值132</t>
  </si>
  <si>
    <t>類型133</t>
  </si>
  <si>
    <t>數值133</t>
  </si>
  <si>
    <t>類型134</t>
  </si>
  <si>
    <t>數值134</t>
  </si>
  <si>
    <t>類型135</t>
  </si>
  <si>
    <t>數值135</t>
  </si>
  <si>
    <t>類型136</t>
  </si>
  <si>
    <t>數值136</t>
  </si>
  <si>
    <t>類型137</t>
  </si>
  <si>
    <t>數值137</t>
  </si>
  <si>
    <t>類型138</t>
  </si>
  <si>
    <t>數值138</t>
  </si>
  <si>
    <t>類型139</t>
  </si>
  <si>
    <t>數值139</t>
  </si>
  <si>
    <t>類型140</t>
  </si>
  <si>
    <t>數值140</t>
  </si>
  <si>
    <t>類型141</t>
  </si>
  <si>
    <t>數值141</t>
  </si>
  <si>
    <t>類型142</t>
  </si>
  <si>
    <t>數值142</t>
  </si>
  <si>
    <t>類型143</t>
  </si>
  <si>
    <t>數值143</t>
  </si>
  <si>
    <t>類型144</t>
  </si>
  <si>
    <t>數值144</t>
  </si>
  <si>
    <t>類型145</t>
  </si>
  <si>
    <t>數值145</t>
  </si>
  <si>
    <t>類型146</t>
  </si>
  <si>
    <t>數值146</t>
  </si>
  <si>
    <t>類型147</t>
  </si>
  <si>
    <t>數值147</t>
  </si>
  <si>
    <t>類型148</t>
  </si>
  <si>
    <t>數值148</t>
  </si>
  <si>
    <t>類型149</t>
  </si>
  <si>
    <t>數值149</t>
  </si>
  <si>
    <t>類型150</t>
  </si>
  <si>
    <t>數值150</t>
  </si>
  <si>
    <t>類型151</t>
  </si>
  <si>
    <t>數值151</t>
  </si>
  <si>
    <t>類型152</t>
  </si>
  <si>
    <t>數值152</t>
  </si>
  <si>
    <t>類型153</t>
  </si>
  <si>
    <t>數值153</t>
  </si>
  <si>
    <t>類型154</t>
  </si>
  <si>
    <t>數值154</t>
  </si>
  <si>
    <t>類型155</t>
  </si>
  <si>
    <t>數值155</t>
  </si>
  <si>
    <t>類型156</t>
  </si>
  <si>
    <t>數值156</t>
  </si>
  <si>
    <t>類型157</t>
  </si>
  <si>
    <t>數值157</t>
  </si>
  <si>
    <t>類型158</t>
  </si>
  <si>
    <t>數值158</t>
  </si>
  <si>
    <t>類型159</t>
  </si>
  <si>
    <t>數值159</t>
  </si>
  <si>
    <t>類型160</t>
  </si>
  <si>
    <t>數值160</t>
  </si>
  <si>
    <t>類型161</t>
  </si>
  <si>
    <t>數值161</t>
  </si>
  <si>
    <t>類型162</t>
  </si>
  <si>
    <t>數值162</t>
  </si>
  <si>
    <t>類型163</t>
  </si>
  <si>
    <t>數值163</t>
  </si>
  <si>
    <t>類型164</t>
  </si>
  <si>
    <t>數值164</t>
  </si>
  <si>
    <t>類型165</t>
  </si>
  <si>
    <t>數值165</t>
  </si>
  <si>
    <t>類型166</t>
  </si>
  <si>
    <t>數值166</t>
  </si>
  <si>
    <t>類型167</t>
  </si>
  <si>
    <t>權重129</t>
  </si>
  <si>
    <t>權重130</t>
  </si>
  <si>
    <t>權重131</t>
  </si>
  <si>
    <t>權重132</t>
  </si>
  <si>
    <t>權重133</t>
  </si>
  <si>
    <t>權重134</t>
  </si>
  <si>
    <t>權重135</t>
  </si>
  <si>
    <t>權重136</t>
  </si>
  <si>
    <t>權重137</t>
  </si>
  <si>
    <t>權重138</t>
  </si>
  <si>
    <t>權重139</t>
  </si>
  <si>
    <t>權重140</t>
  </si>
  <si>
    <t>權重141</t>
  </si>
  <si>
    <t>權重142</t>
  </si>
  <si>
    <t>權重143</t>
  </si>
  <si>
    <t>權重144</t>
  </si>
  <si>
    <t>權重145</t>
  </si>
  <si>
    <t>權重146</t>
  </si>
  <si>
    <t>權重147</t>
  </si>
  <si>
    <t>權重148</t>
  </si>
  <si>
    <t>權重149</t>
  </si>
  <si>
    <t>權重150</t>
  </si>
  <si>
    <t>權重151</t>
  </si>
  <si>
    <t>權重152</t>
  </si>
  <si>
    <t>權重153</t>
  </si>
  <si>
    <t>權重154</t>
  </si>
  <si>
    <t>權重155</t>
  </si>
  <si>
    <t>權重156</t>
  </si>
  <si>
    <t>權重157</t>
  </si>
  <si>
    <t>權重158</t>
  </si>
  <si>
    <t>權重159</t>
  </si>
  <si>
    <t>權重160</t>
  </si>
  <si>
    <t>權重161</t>
  </si>
  <si>
    <t>權重162</t>
  </si>
  <si>
    <t>權重163</t>
  </si>
  <si>
    <t>權重164</t>
  </si>
  <si>
    <t>權重165</t>
  </si>
  <si>
    <t>權重166</t>
  </si>
  <si>
    <t>數值167</t>
  </si>
  <si>
    <t>權重167</t>
  </si>
  <si>
    <t>類型168</t>
  </si>
  <si>
    <t>數值168</t>
  </si>
  <si>
    <t>權重168</t>
  </si>
  <si>
    <t>類型169</t>
  </si>
  <si>
    <t>數值169</t>
  </si>
  <si>
    <t>權重169</t>
  </si>
  <si>
    <t>類型170</t>
  </si>
  <si>
    <t>數值170</t>
  </si>
  <si>
    <t>權重170</t>
  </si>
  <si>
    <t>類型171</t>
  </si>
  <si>
    <t>數值171</t>
  </si>
  <si>
    <t>權重171</t>
  </si>
  <si>
    <t>類型172</t>
  </si>
  <si>
    <t>數值172</t>
  </si>
  <si>
    <t>權重172</t>
  </si>
  <si>
    <t>類型173</t>
  </si>
  <si>
    <t>數值173</t>
  </si>
  <si>
    <t>權重173</t>
  </si>
  <si>
    <t>類型174</t>
  </si>
  <si>
    <t>數值174</t>
  </si>
  <si>
    <t>權重174</t>
  </si>
  <si>
    <t>類型175</t>
  </si>
  <si>
    <t>數值175</t>
  </si>
  <si>
    <t>權重175</t>
  </si>
  <si>
    <t>類型176</t>
  </si>
  <si>
    <t>數值176</t>
  </si>
  <si>
    <t>權重176</t>
  </si>
  <si>
    <t>類型177</t>
  </si>
  <si>
    <t>數值177</t>
  </si>
  <si>
    <t>權重177</t>
  </si>
  <si>
    <t>類型178</t>
  </si>
  <si>
    <t>數值178</t>
  </si>
  <si>
    <t>權重178</t>
  </si>
  <si>
    <t>類型179</t>
  </si>
  <si>
    <t>數值179</t>
  </si>
  <si>
    <t>權重179</t>
  </si>
  <si>
    <t>類型180</t>
  </si>
  <si>
    <t>數值180</t>
  </si>
  <si>
    <t>權重180</t>
  </si>
  <si>
    <t>類型181</t>
  </si>
  <si>
    <t>數值181</t>
  </si>
  <si>
    <t>權重181</t>
  </si>
  <si>
    <t>類型182</t>
  </si>
  <si>
    <t>數值182</t>
  </si>
  <si>
    <t>權重182</t>
  </si>
  <si>
    <t>類型183</t>
  </si>
  <si>
    <t>數值183</t>
  </si>
  <si>
    <t>權重183</t>
  </si>
  <si>
    <t>類型184</t>
  </si>
  <si>
    <t>數值184</t>
  </si>
  <si>
    <t>權重184</t>
  </si>
  <si>
    <t>類型185</t>
  </si>
  <si>
    <t>數值185</t>
  </si>
  <si>
    <t>權重185</t>
  </si>
  <si>
    <t>類型186</t>
  </si>
  <si>
    <t>數值186</t>
  </si>
  <si>
    <t>權重186</t>
  </si>
  <si>
    <t>類型187</t>
  </si>
  <si>
    <t>數值187</t>
  </si>
  <si>
    <t>權重187</t>
  </si>
  <si>
    <t>類型188</t>
  </si>
  <si>
    <t>數值188</t>
  </si>
  <si>
    <t>權重188</t>
  </si>
  <si>
    <t>類型189</t>
  </si>
  <si>
    <t>數值189</t>
  </si>
  <si>
    <t>權重189</t>
  </si>
  <si>
    <t>類型190</t>
  </si>
  <si>
    <t>數值190</t>
  </si>
  <si>
    <t>權重190</t>
  </si>
  <si>
    <t>類型191</t>
  </si>
  <si>
    <t>數值191</t>
  </si>
  <si>
    <t>權重191</t>
  </si>
  <si>
    <t>類型192</t>
  </si>
  <si>
    <t>數值192</t>
  </si>
  <si>
    <t>權重192</t>
  </si>
  <si>
    <t>類型193</t>
  </si>
  <si>
    <t>數值193</t>
  </si>
  <si>
    <t>權重193</t>
  </si>
  <si>
    <t>類型194</t>
  </si>
  <si>
    <t>數值194</t>
  </si>
  <si>
    <t>權重194</t>
  </si>
  <si>
    <t>類型195</t>
  </si>
  <si>
    <t>數值195</t>
  </si>
  <si>
    <t>權重195</t>
  </si>
  <si>
    <t>類型196</t>
  </si>
  <si>
    <t>數值196</t>
  </si>
  <si>
    <t>權重196</t>
  </si>
  <si>
    <t>類型197</t>
  </si>
  <si>
    <t>數值197</t>
  </si>
  <si>
    <t>權重197</t>
  </si>
  <si>
    <t>類型198</t>
  </si>
  <si>
    <t>數值198</t>
  </si>
  <si>
    <t>權重198</t>
  </si>
  <si>
    <t>類型199</t>
  </si>
  <si>
    <t>數值199</t>
  </si>
  <si>
    <t>權重199</t>
  </si>
  <si>
    <t>類型200</t>
  </si>
  <si>
    <t>數值200</t>
  </si>
  <si>
    <t>權重200</t>
  </si>
  <si>
    <t>類型201</t>
  </si>
  <si>
    <t>數值201</t>
  </si>
  <si>
    <t>權重201</t>
  </si>
  <si>
    <t>類型202</t>
  </si>
  <si>
    <t>數值202</t>
  </si>
  <si>
    <t>權重202</t>
  </si>
  <si>
    <t>類型203</t>
  </si>
  <si>
    <t>數值203</t>
  </si>
  <si>
    <t>權重203</t>
  </si>
  <si>
    <t>類型204</t>
  </si>
  <si>
    <t>數值204</t>
  </si>
  <si>
    <t>權重204</t>
  </si>
  <si>
    <t>類型205</t>
  </si>
  <si>
    <t>數值205</t>
  </si>
  <si>
    <t>權重205</t>
  </si>
  <si>
    <t>類型206</t>
  </si>
  <si>
    <t>數值206</t>
  </si>
  <si>
    <t>權重206</t>
  </si>
  <si>
    <t>輸出Json</t>
  </si>
  <si>
    <t>Point</t>
  </si>
  <si>
    <t>Ref</t>
    <phoneticPr fontId="1" type="noConversion"/>
  </si>
  <si>
    <t>全部獲得</t>
    <phoneticPr fontId="1" type="noConversion"/>
  </si>
  <si>
    <t>開啟類型</t>
    <phoneticPr fontId="1" type="noConversion"/>
  </si>
  <si>
    <t>ItemType</t>
    <phoneticPr fontId="1" type="noConversion"/>
  </si>
  <si>
    <t>ItemGroup</t>
  </si>
  <si>
    <t>All</t>
  </si>
  <si>
    <t>遊戲幣</t>
  </si>
  <si>
    <t>點數</t>
  </si>
  <si>
    <t>寶箱</t>
  </si>
  <si>
    <t>Name_</t>
    <phoneticPr fontId="1" type="noConversion"/>
  </si>
  <si>
    <t>名稱</t>
    <phoneticPr fontId="1" type="noConversion"/>
  </si>
  <si>
    <t>ItemWeight1</t>
    <phoneticPr fontId="1" type="noConversion"/>
  </si>
  <si>
    <t>Type</t>
    <phoneticPr fontId="1" type="noConversion"/>
  </si>
  <si>
    <t>TypeValue</t>
    <phoneticPr fontId="1" type="noConversion"/>
  </si>
  <si>
    <t>RandomGold</t>
    <phoneticPr fontId="1" type="noConversion"/>
  </si>
  <si>
    <t>RandomPoint</t>
    <phoneticPr fontId="1" type="noConversion"/>
  </si>
  <si>
    <t>獲得隨機金幣，TypeValue填100~200代表會隨機獲得100~200金幣</t>
    <phoneticPr fontId="1" type="noConversion"/>
  </si>
  <si>
    <t>獲得隨機點數，TypeValue填100~200代表會隨機獲得100~200點數</t>
    <phoneticPr fontId="1" type="noConversion"/>
  </si>
  <si>
    <t>100~200</t>
    <phoneticPr fontId="1" type="noConversion"/>
  </si>
  <si>
    <t>隨機獲得N個，N為TypeValue填的值</t>
    <phoneticPr fontId="1" type="noConversion"/>
  </si>
  <si>
    <t>Random</t>
    <phoneticPr fontId="1" type="noConversion"/>
  </si>
  <si>
    <t>獲得隨機金幣</t>
    <phoneticPr fontId="1" type="noConversion"/>
  </si>
  <si>
    <t>獲得隨機金幣，TypeValue填100~200代表會隨機獲得100~200金幣</t>
    <phoneticPr fontId="1" type="noConversion"/>
  </si>
  <si>
    <t>RandomGold</t>
    <phoneticPr fontId="1" type="noConversion"/>
  </si>
  <si>
    <t>獲得隨機點數</t>
    <phoneticPr fontId="1" type="noConversion"/>
  </si>
  <si>
    <t>獲得隨機點數，TypeValue填100~200代表會隨機獲得100~200點數</t>
    <phoneticPr fontId="1" type="noConversion"/>
  </si>
  <si>
    <t>RandomPoint</t>
    <phoneticPr fontId="1" type="noConversion"/>
  </si>
  <si>
    <t>獲得隨機小鋼珠</t>
    <phoneticPr fontId="1" type="noConversion"/>
  </si>
  <si>
    <t>獲得隨機小鋼珠，TypeValue填100~200代表會隨機獲得100~200小鋼珠</t>
    <phoneticPr fontId="1" type="noConversion"/>
  </si>
  <si>
    <t>RandomBall</t>
    <phoneticPr fontId="1" type="noConversion"/>
  </si>
  <si>
    <t>範例</t>
    <phoneticPr fontId="1" type="noConversion"/>
  </si>
  <si>
    <t>抽到重覆道具換成寶箱</t>
    <phoneticPr fontId="1" type="noConversion"/>
  </si>
  <si>
    <t>Rank1-其他</t>
    <phoneticPr fontId="1" type="noConversion"/>
  </si>
  <si>
    <t>Rank2-其他</t>
    <phoneticPr fontId="1" type="noConversion"/>
  </si>
  <si>
    <t>Rank3-其他</t>
    <phoneticPr fontId="1" type="noConversion"/>
  </si>
  <si>
    <t>獲得隨機1個</t>
    <phoneticPr fontId="1" type="noConversion"/>
  </si>
  <si>
    <t>非獨特資料類道具測試</t>
    <phoneticPr fontId="1" type="noConversion"/>
  </si>
  <si>
    <t>Rank4-其他</t>
    <phoneticPr fontId="1" type="noConversion"/>
  </si>
  <si>
    <t>Rank5-其他</t>
    <phoneticPr fontId="1" type="noConversion"/>
  </si>
  <si>
    <t>可重複獲得道具測試</t>
    <phoneticPr fontId="1" type="noConversion"/>
  </si>
  <si>
    <t>各種類道具測試</t>
    <phoneticPr fontId="1" type="noConversion"/>
  </si>
  <si>
    <t>全部獲得寶箱開寶箱</t>
    <phoneticPr fontId="1" type="noConversion"/>
  </si>
  <si>
    <t>隨機獲得寶箱開寶箱</t>
    <phoneticPr fontId="1" type="noConversion"/>
  </si>
  <si>
    <t>ItemType11</t>
    <phoneticPr fontId="1" type="noConversion"/>
  </si>
  <si>
    <t>ItemValue11</t>
    <phoneticPr fontId="1" type="noConversion"/>
  </si>
  <si>
    <t>ItemWeight11</t>
    <phoneticPr fontId="1" type="noConversion"/>
  </si>
  <si>
    <t>類型</t>
    <phoneticPr fontId="1" type="noConversion"/>
  </si>
  <si>
    <t>數值</t>
    <phoneticPr fontId="1" type="noConversion"/>
  </si>
  <si>
    <t>權重</t>
    <phoneticPr fontId="1" type="noConversion"/>
  </si>
  <si>
    <t>TypeValue填入亂數的品質、填入0代表不分品質</t>
  </si>
  <si>
    <t>隨機獲得任一ID的頭像</t>
  </si>
  <si>
    <t>All</t>
    <phoneticPr fontId="1" type="noConversion"/>
  </si>
  <si>
    <r>
      <t>※此區只能填</t>
    </r>
    <r>
      <rPr>
        <sz val="11"/>
        <color rgb="FFFF0000"/>
        <rFont val="新細明體"/>
        <family val="1"/>
        <charset val="136"/>
        <scheme val="minor"/>
      </rPr>
      <t>非重複類</t>
    </r>
    <r>
      <rPr>
        <sz val="11"/>
        <rFont val="新細明體"/>
        <family val="1"/>
        <charset val="136"/>
        <scheme val="minor"/>
      </rPr>
      <t>道具</t>
    </r>
    <r>
      <rPr>
        <sz val="11"/>
        <rFont val="新細明體"/>
        <family val="2"/>
        <scheme val="minor"/>
      </rPr>
      <t>與</t>
    </r>
    <r>
      <rPr>
        <sz val="11"/>
        <color rgb="FFFF0000"/>
        <rFont val="新細明體"/>
        <family val="1"/>
        <charset val="136"/>
        <scheme val="minor"/>
      </rPr>
      <t>非寶箱類</t>
    </r>
    <r>
      <rPr>
        <sz val="11"/>
        <rFont val="新細明體"/>
        <family val="2"/>
        <scheme val="minor"/>
      </rPr>
      <t>道具
※此區</t>
    </r>
    <r>
      <rPr>
        <sz val="11"/>
        <color rgb="FFFF0000"/>
        <rFont val="新細明體"/>
        <family val="1"/>
        <charset val="136"/>
        <scheme val="minor"/>
      </rPr>
      <t>Type</t>
    </r>
    <r>
      <rPr>
        <sz val="11"/>
        <rFont val="新細明體"/>
        <family val="2"/>
        <scheme val="minor"/>
      </rPr>
      <t>只能填</t>
    </r>
    <r>
      <rPr>
        <sz val="11"/>
        <color rgb="FFFF0000"/>
        <rFont val="新細明體"/>
        <family val="1"/>
        <charset val="136"/>
        <scheme val="minor"/>
      </rPr>
      <t>All</t>
    </r>
    <r>
      <rPr>
        <sz val="11"/>
        <rFont val="新細明體"/>
        <family val="2"/>
        <scheme val="minor"/>
      </rPr>
      <t>且只能填</t>
    </r>
    <r>
      <rPr>
        <sz val="11"/>
        <color rgb="FFFF0000"/>
        <rFont val="新細明體"/>
        <family val="1"/>
        <charset val="136"/>
        <scheme val="minor"/>
      </rPr>
      <t>1個道具</t>
    </r>
    <r>
      <rPr>
        <sz val="11"/>
        <rFont val="新細明體"/>
        <family val="2"/>
        <scheme val="minor"/>
      </rPr>
      <t>否則無法正確顯示取代後的道具是什麼</t>
    </r>
    <phoneticPr fontId="1" type="noConversion"/>
  </si>
  <si>
    <t>ItemWeight12</t>
    <phoneticPr fontId="1" type="noConversion"/>
  </si>
  <si>
    <t>ItemType12</t>
    <phoneticPr fontId="1" type="noConversion"/>
  </si>
  <si>
    <t>ItemValue12</t>
    <phoneticPr fontId="1" type="noConversion"/>
  </si>
  <si>
    <t>ItemType13</t>
    <phoneticPr fontId="1" type="noConversion"/>
  </si>
  <si>
    <t>ItemValue13</t>
    <phoneticPr fontId="1" type="noConversion"/>
  </si>
  <si>
    <t>ItemWeight13</t>
    <phoneticPr fontId="1" type="noConversion"/>
  </si>
  <si>
    <t>ItemType14</t>
    <phoneticPr fontId="1" type="noConversion"/>
  </si>
  <si>
    <t>ItemValue14</t>
    <phoneticPr fontId="1" type="noConversion"/>
  </si>
  <si>
    <t>ItemWeight14</t>
    <phoneticPr fontId="1" type="noConversion"/>
  </si>
  <si>
    <t>ItemType15</t>
    <phoneticPr fontId="1" type="noConversion"/>
  </si>
  <si>
    <t>ItemValue15</t>
    <phoneticPr fontId="1" type="noConversion"/>
  </si>
  <si>
    <t>ItemWeight15</t>
    <phoneticPr fontId="1" type="noConversion"/>
  </si>
  <si>
    <t>ItemType16</t>
    <phoneticPr fontId="1" type="noConversion"/>
  </si>
  <si>
    <t>ItemValue16</t>
    <phoneticPr fontId="1" type="noConversion"/>
  </si>
  <si>
    <t>ItemWeight16</t>
    <phoneticPr fontId="1" type="noConversion"/>
  </si>
  <si>
    <t>ItemType17</t>
    <phoneticPr fontId="1" type="noConversion"/>
  </si>
  <si>
    <t>ItemValue17</t>
    <phoneticPr fontId="1" type="noConversion"/>
  </si>
  <si>
    <t>ItemWeight17</t>
    <phoneticPr fontId="1" type="noConversion"/>
  </si>
  <si>
    <t>ItemType18</t>
    <phoneticPr fontId="1" type="noConversion"/>
  </si>
  <si>
    <t>ItemValue18</t>
    <phoneticPr fontId="1" type="noConversion"/>
  </si>
  <si>
    <t>ItemWeight18</t>
    <phoneticPr fontId="1" type="noConversion"/>
  </si>
  <si>
    <t>ItemType19</t>
    <phoneticPr fontId="1" type="noConversion"/>
  </si>
  <si>
    <t>ItemValue19</t>
    <phoneticPr fontId="1" type="noConversion"/>
  </si>
  <si>
    <t>ItemWeight19</t>
    <phoneticPr fontId="1" type="noConversion"/>
  </si>
  <si>
    <t>ItemType20</t>
    <phoneticPr fontId="1" type="noConversion"/>
  </si>
  <si>
    <t>ItemValue20</t>
    <phoneticPr fontId="1" type="noConversion"/>
  </si>
  <si>
    <t>ItemWeight20</t>
    <phoneticPr fontId="1" type="noConversion"/>
  </si>
  <si>
    <t>ItemType21</t>
    <phoneticPr fontId="1" type="noConversion"/>
  </si>
  <si>
    <t>ItemValue21</t>
    <phoneticPr fontId="1" type="noConversion"/>
  </si>
  <si>
    <t>ItemWeight21</t>
    <phoneticPr fontId="1" type="noConversion"/>
  </si>
  <si>
    <t>ItemType22</t>
    <phoneticPr fontId="1" type="noConversion"/>
  </si>
  <si>
    <t>ItemValue22</t>
    <phoneticPr fontId="1" type="noConversion"/>
  </si>
  <si>
    <t>ItemWeight22</t>
    <phoneticPr fontId="1" type="noConversion"/>
  </si>
  <si>
    <t>ItemType23</t>
    <phoneticPr fontId="1" type="noConversion"/>
  </si>
  <si>
    <t>ItemValue23</t>
    <phoneticPr fontId="1" type="noConversion"/>
  </si>
  <si>
    <t>ItemWeight23</t>
    <phoneticPr fontId="1" type="noConversion"/>
  </si>
  <si>
    <t>ItemType24</t>
    <phoneticPr fontId="1" type="noConversion"/>
  </si>
  <si>
    <t>ItemValue24</t>
    <phoneticPr fontId="1" type="noConversion"/>
  </si>
  <si>
    <t>ItemWeight24</t>
    <phoneticPr fontId="1" type="noConversion"/>
  </si>
  <si>
    <t>ItemType25</t>
    <phoneticPr fontId="1" type="noConversion"/>
  </si>
  <si>
    <t>ItemValue25</t>
    <phoneticPr fontId="1" type="noConversion"/>
  </si>
  <si>
    <t>ItemWeight25</t>
    <phoneticPr fontId="1" type="noConversion"/>
  </si>
  <si>
    <t>ItemType26</t>
    <phoneticPr fontId="1" type="noConversion"/>
  </si>
  <si>
    <t>ItemValue26</t>
    <phoneticPr fontId="1" type="noConversion"/>
  </si>
  <si>
    <t>ItemWeight26</t>
    <phoneticPr fontId="1" type="noConversion"/>
  </si>
  <si>
    <t>ItemType27</t>
    <phoneticPr fontId="1" type="noConversion"/>
  </si>
  <si>
    <t>ItemValue27</t>
    <phoneticPr fontId="1" type="noConversion"/>
  </si>
  <si>
    <t>ItemWeight27</t>
    <phoneticPr fontId="1" type="noConversion"/>
  </si>
  <si>
    <t>ItemType28</t>
    <phoneticPr fontId="1" type="noConversion"/>
  </si>
  <si>
    <t>ItemValue28</t>
    <phoneticPr fontId="1" type="noConversion"/>
  </si>
  <si>
    <t>ItemWeight28</t>
    <phoneticPr fontId="1" type="noConversion"/>
  </si>
  <si>
    <t>ItemType29</t>
    <phoneticPr fontId="1" type="noConversion"/>
  </si>
  <si>
    <t>ItemValue29</t>
    <phoneticPr fontId="1" type="noConversion"/>
  </si>
  <si>
    <t>ItemWeight29</t>
    <phoneticPr fontId="1" type="noConversion"/>
  </si>
  <si>
    <t>ItemType30</t>
    <phoneticPr fontId="1" type="noConversion"/>
  </si>
  <si>
    <t>ItemValue30</t>
    <phoneticPr fontId="1" type="noConversion"/>
  </si>
  <si>
    <t>ItemWeight30</t>
    <phoneticPr fontId="1" type="noConversion"/>
  </si>
  <si>
    <t>ItemType31</t>
    <phoneticPr fontId="1" type="noConversion"/>
  </si>
  <si>
    <t>ItemValue31</t>
    <phoneticPr fontId="1" type="noConversion"/>
  </si>
  <si>
    <t>ItemWeight31</t>
    <phoneticPr fontId="1" type="noConversion"/>
  </si>
  <si>
    <t>ItemType32</t>
    <phoneticPr fontId="1" type="noConversion"/>
  </si>
  <si>
    <t>ItemValue32</t>
    <phoneticPr fontId="1" type="noConversion"/>
  </si>
  <si>
    <t>ItemWeight32</t>
    <phoneticPr fontId="1" type="noConversion"/>
  </si>
  <si>
    <t>ItemType33</t>
    <phoneticPr fontId="1" type="noConversion"/>
  </si>
  <si>
    <t>ItemValue33</t>
    <phoneticPr fontId="1" type="noConversion"/>
  </si>
  <si>
    <t>ItemWeight33</t>
    <phoneticPr fontId="1" type="noConversion"/>
  </si>
  <si>
    <t>ItemType34</t>
    <phoneticPr fontId="1" type="noConversion"/>
  </si>
  <si>
    <t>ItemValue34</t>
    <phoneticPr fontId="1" type="noConversion"/>
  </si>
  <si>
    <t>ItemWeight34</t>
    <phoneticPr fontId="1" type="noConversion"/>
  </si>
  <si>
    <t>ItemType35</t>
    <phoneticPr fontId="1" type="noConversion"/>
  </si>
  <si>
    <t>ItemValue35</t>
    <phoneticPr fontId="1" type="noConversion"/>
  </si>
  <si>
    <t>ItemWeight35</t>
    <phoneticPr fontId="1" type="noConversion"/>
  </si>
  <si>
    <t>ItemType36</t>
    <phoneticPr fontId="1" type="noConversion"/>
  </si>
  <si>
    <t>ItemValue36</t>
    <phoneticPr fontId="1" type="noConversion"/>
  </si>
  <si>
    <t>ItemWeight36</t>
    <phoneticPr fontId="1" type="noConversion"/>
  </si>
  <si>
    <t>ItemType37</t>
    <phoneticPr fontId="1" type="noConversion"/>
  </si>
  <si>
    <t>ItemValue37</t>
    <phoneticPr fontId="1" type="noConversion"/>
  </si>
  <si>
    <t>ItemWeight37</t>
    <phoneticPr fontId="1" type="noConversion"/>
  </si>
  <si>
    <t>ItemType38</t>
    <phoneticPr fontId="1" type="noConversion"/>
  </si>
  <si>
    <t>ItemValue38</t>
    <phoneticPr fontId="1" type="noConversion"/>
  </si>
  <si>
    <t>ItemWeight38</t>
    <phoneticPr fontId="1" type="noConversion"/>
  </si>
  <si>
    <t>ItemType39</t>
    <phoneticPr fontId="1" type="noConversion"/>
  </si>
  <si>
    <t>ItemValue39</t>
    <phoneticPr fontId="1" type="noConversion"/>
  </si>
  <si>
    <t>ItemWeight39</t>
    <phoneticPr fontId="1" type="noConversion"/>
  </si>
  <si>
    <t>ItemType40</t>
    <phoneticPr fontId="1" type="noConversion"/>
  </si>
  <si>
    <t>ItemValue40</t>
    <phoneticPr fontId="1" type="noConversion"/>
  </si>
  <si>
    <t>ItemWeight40</t>
    <phoneticPr fontId="1" type="noConversion"/>
  </si>
  <si>
    <t>ItemType41</t>
    <phoneticPr fontId="1" type="noConversion"/>
  </si>
  <si>
    <t>ItemValue41</t>
    <phoneticPr fontId="1" type="noConversion"/>
  </si>
  <si>
    <t>ItemWeight41</t>
    <phoneticPr fontId="1" type="noConversion"/>
  </si>
  <si>
    <t>ItemType42</t>
    <phoneticPr fontId="1" type="noConversion"/>
  </si>
  <si>
    <t>ItemValue42</t>
    <phoneticPr fontId="1" type="noConversion"/>
  </si>
  <si>
    <t>ItemWeight42</t>
    <phoneticPr fontId="1" type="noConversion"/>
  </si>
  <si>
    <t>ItemType43</t>
    <phoneticPr fontId="1" type="noConversion"/>
  </si>
  <si>
    <t>ItemValue43</t>
    <phoneticPr fontId="1" type="noConversion"/>
  </si>
  <si>
    <t>ItemWeight43</t>
    <phoneticPr fontId="1" type="noConversion"/>
  </si>
  <si>
    <t>ItemType44</t>
    <phoneticPr fontId="1" type="noConversion"/>
  </si>
  <si>
    <t>ItemValue44</t>
    <phoneticPr fontId="1" type="noConversion"/>
  </si>
  <si>
    <t>ItemWeight44</t>
    <phoneticPr fontId="1" type="noConversion"/>
  </si>
  <si>
    <t>ItemType45</t>
    <phoneticPr fontId="1" type="noConversion"/>
  </si>
  <si>
    <t>ItemValue45</t>
    <phoneticPr fontId="1" type="noConversion"/>
  </si>
  <si>
    <t>ItemWeight45</t>
    <phoneticPr fontId="1" type="noConversion"/>
  </si>
  <si>
    <t>ItemType46</t>
    <phoneticPr fontId="1" type="noConversion"/>
  </si>
  <si>
    <t>ItemValue46</t>
    <phoneticPr fontId="1" type="noConversion"/>
  </si>
  <si>
    <t>ItemWeight46</t>
    <phoneticPr fontId="1" type="noConversion"/>
  </si>
  <si>
    <t>ItemType47</t>
    <phoneticPr fontId="1" type="noConversion"/>
  </si>
  <si>
    <t>ItemValue47</t>
    <phoneticPr fontId="1" type="noConversion"/>
  </si>
  <si>
    <t>ItemWeight47</t>
    <phoneticPr fontId="1" type="noConversion"/>
  </si>
  <si>
    <t>ItemType48</t>
    <phoneticPr fontId="1" type="noConversion"/>
  </si>
  <si>
    <t>ItemValue48</t>
    <phoneticPr fontId="1" type="noConversion"/>
  </si>
  <si>
    <t>ItemWeight48</t>
    <phoneticPr fontId="1" type="noConversion"/>
  </si>
  <si>
    <t>ItemType49</t>
    <phoneticPr fontId="1" type="noConversion"/>
  </si>
  <si>
    <t>ItemValue49</t>
    <phoneticPr fontId="1" type="noConversion"/>
  </si>
  <si>
    <t>ItemWeight49</t>
    <phoneticPr fontId="1" type="noConversion"/>
  </si>
  <si>
    <t>ItemType50</t>
    <phoneticPr fontId="1" type="noConversion"/>
  </si>
  <si>
    <t>ItemValue50</t>
    <phoneticPr fontId="1" type="noConversion"/>
  </si>
  <si>
    <t>ItemWeight50</t>
    <phoneticPr fontId="1" type="noConversion"/>
  </si>
  <si>
    <t>Random</t>
    <phoneticPr fontId="1" type="noConversion"/>
  </si>
  <si>
    <t>隨機獲得N個，N為TypeValue填的值</t>
    <phoneticPr fontId="1" type="noConversion"/>
  </si>
  <si>
    <t>Description_</t>
    <phoneticPr fontId="1" type="noConversion"/>
  </si>
  <si>
    <t>卡片機率較高福袋</t>
    <phoneticPr fontId="1" type="noConversion"/>
  </si>
  <si>
    <t>隨VIP室更新的常駐金板卡池，卡片機率為金幣常駐的3倍</t>
    <phoneticPr fontId="1" type="noConversion"/>
  </si>
  <si>
    <t>Random</t>
    <phoneticPr fontId="1" type="noConversion"/>
  </si>
  <si>
    <t>卡片機率較高福袋</t>
    <phoneticPr fontId="1" type="noConversion"/>
  </si>
  <si>
    <t>隨VIP室更新的常駐金板卡池，卡片機率為金幣常駐的3倍</t>
    <phoneticPr fontId="1" type="noConversion"/>
  </si>
  <si>
    <t>Random</t>
    <phoneticPr fontId="1" type="noConversion"/>
  </si>
  <si>
    <t>\thedoor\Assets\AddressableAssets\Json\</t>
    <phoneticPr fontId="1" type="noConversion"/>
  </si>
  <si>
    <t>\thedoor_cf\functions\GameData\</t>
    <phoneticPr fontId="1" type="noConversion"/>
  </si>
  <si>
    <t>Supply</t>
  </si>
  <si>
    <t>Supply</t>
    <phoneticPr fontId="1" type="noConversion"/>
  </si>
  <si>
    <t>道具</t>
    <phoneticPr fontId="1" type="noConversion"/>
  </si>
  <si>
    <t>RandomSupply</t>
  </si>
  <si>
    <t>隨機獲得任一ID的道具，TypeValue填空白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</si>
</sst>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rgb="FFFF0000"/>
      <name val="新細明體"/>
      <family val="1"/>
      <charset val="136"/>
      <scheme val="minor"/>
    </font>
    <font>
      <sz val="12"/>
      <color theme="1"/>
      <name val="Calibri"/>
      <family val="2"/>
    </font>
    <font>
      <sz val="11"/>
      <color rgb="FFFF0000"/>
      <name val="新細明體"/>
      <family val="2"/>
      <scheme val="minor"/>
    </font>
    <font>
      <b/>
      <sz val="12"/>
      <color theme="1"/>
      <name val="Arial"/>
      <family val="2"/>
    </font>
    <font>
      <sz val="11"/>
      <color theme="1"/>
      <name val="新細明體"/>
      <family val="1"/>
      <charset val="136"/>
      <scheme val="minor"/>
    </font>
    <font>
      <sz val="11"/>
      <name val="新細明體"/>
      <family val="2"/>
      <scheme val="minor"/>
    </font>
    <font>
      <sz val="1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1"/>
      <name val="新細明體"/>
      <family val="1"/>
      <charset val="136"/>
    </font>
    <font>
      <sz val="11"/>
      <color theme="1"/>
      <name val="PMingLiu"/>
      <family val="1"/>
      <charset val="136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DEAA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47">
    <xf numFmtId="0" fontId="0" fillId="0" borderId="0" xfId="0"/>
    <xf numFmtId="0" fontId="2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3" fillId="0" borderId="0" xfId="0" applyFont="1" applyAlignment="1">
      <alignment horizontal="left" vertical="center"/>
    </xf>
    <xf numFmtId="0" fontId="0" fillId="0" borderId="0" xfId="1" applyFont="1"/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0" fontId="12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/>
    <xf numFmtId="0" fontId="11" fillId="0" borderId="0" xfId="0" applyFont="1"/>
    <xf numFmtId="0" fontId="0" fillId="0" borderId="1" xfId="0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center" wrapText="1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0" fontId="0" fillId="0" borderId="0" xfId="0" applyAlignment="1">
      <alignment horizontal="center" vertical="top" wrapText="1"/>
    </xf>
    <xf numFmtId="0" fontId="2" fillId="2" borderId="0" xfId="0" applyFont="1" applyFill="1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DE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962025</xdr:colOff>
      <xdr:row>6</xdr:row>
      <xdr:rowOff>152400</xdr:rowOff>
    </xdr:from>
    <xdr:to>
      <xdr:col>4</xdr:col>
      <xdr:colOff>352425</xdr:colOff>
      <xdr:row>8</xdr:row>
      <xdr:rowOff>142875</xdr:rowOff>
    </xdr:to>
    <xdr:sp macro="[0]!OnLoadItemGroupClick" textlink="">
      <xdr:nvSpPr>
        <xdr:cNvPr id="2" name="矩形: 圓角 1">
          <a:extLst>
            <a:ext uri="{FF2B5EF4-FFF2-40B4-BE49-F238E27FC236}">
              <a16:creationId xmlns:a16="http://schemas.microsoft.com/office/drawing/2014/main" xmlns="" id="{2188F13A-8237-44C4-8719-F3AB2F352FEC}"/>
            </a:ext>
          </a:extLst>
        </xdr:cNvPr>
        <xdr:cNvSpPr/>
      </xdr:nvSpPr>
      <xdr:spPr>
        <a:xfrm>
          <a:off x="4381500" y="1409700"/>
          <a:ext cx="1381125" cy="428625"/>
        </a:xfrm>
        <a:prstGeom prst="roundRect">
          <a:avLst/>
        </a:prstGeom>
        <a:solidFill>
          <a:srgbClr val="DADEAA"/>
        </a:solidFill>
        <a:ln>
          <a:solidFill>
            <a:schemeClr val="tx2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>
              <a:solidFill>
                <a:sysClr val="windowText" lastClr="000000"/>
              </a:solidFill>
            </a:rPr>
            <a:t>讀取原資料</a:t>
          </a:r>
        </a:p>
      </xdr:txBody>
    </xdr:sp>
    <xdr:clientData/>
  </xdr:twoCellAnchor>
  <xdr:twoCellAnchor>
    <xdr:from>
      <xdr:col>2</xdr:col>
      <xdr:colOff>962025</xdr:colOff>
      <xdr:row>10</xdr:row>
      <xdr:rowOff>95250</xdr:rowOff>
    </xdr:from>
    <xdr:to>
      <xdr:col>4</xdr:col>
      <xdr:colOff>352425</xdr:colOff>
      <xdr:row>12</xdr:row>
      <xdr:rowOff>85725</xdr:rowOff>
    </xdr:to>
    <xdr:sp macro="[0]!OnSetItemGroupClick" textlink="">
      <xdr:nvSpPr>
        <xdr:cNvPr id="4" name="矩形: 圓角 3">
          <a:extLst>
            <a:ext uri="{FF2B5EF4-FFF2-40B4-BE49-F238E27FC236}">
              <a16:creationId xmlns:a16="http://schemas.microsoft.com/office/drawing/2014/main" xmlns="" id="{B3002AAC-BCEA-47FC-8314-D35912898A73}"/>
            </a:ext>
          </a:extLst>
        </xdr:cNvPr>
        <xdr:cNvSpPr/>
      </xdr:nvSpPr>
      <xdr:spPr>
        <a:xfrm>
          <a:off x="4381500" y="2228850"/>
          <a:ext cx="1381125" cy="428625"/>
        </a:xfrm>
        <a:prstGeom prst="roundRect">
          <a:avLst/>
        </a:prstGeom>
        <a:solidFill>
          <a:srgbClr val="DADEAA"/>
        </a:solidFill>
        <a:ln>
          <a:solidFill>
            <a:schemeClr val="tx2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>
              <a:solidFill>
                <a:sysClr val="windowText" lastClr="000000"/>
              </a:solidFill>
            </a:rPr>
            <a:t>設定新資料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ppl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pply"/>
      <sheetName val="SupplyEffect"/>
      <sheetName val="Info"/>
      <sheetName val="Setting"/>
    </sheetNames>
    <sheetDataSet>
      <sheetData sheetId="0">
        <row r="1">
          <cell r="A1" t="str">
            <v>ID</v>
          </cell>
          <cell r="B1" t="str">
            <v>Name_</v>
          </cell>
        </row>
        <row r="2">
          <cell r="A2" t="str">
            <v>編號</v>
          </cell>
          <cell r="B2" t="str">
            <v>名稱</v>
          </cell>
        </row>
        <row r="3">
          <cell r="A3">
            <v>1</v>
          </cell>
          <cell r="B3" t="str">
            <v>厚重教科書</v>
          </cell>
        </row>
        <row r="4">
          <cell r="A4">
            <v>2</v>
          </cell>
          <cell r="B4" t="str">
            <v>手槍</v>
          </cell>
        </row>
        <row r="13">
          <cell r="A13" t="str">
            <v>End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A117"/>
  <sheetViews>
    <sheetView tabSelected="1" workbookViewId="0">
      <pane ySplit="2" topLeftCell="A3" activePane="bottomLeft" state="frozen"/>
      <selection pane="bottomLeft" activeCell="F13" sqref="F13"/>
    </sheetView>
  </sheetViews>
  <sheetFormatPr defaultColWidth="15.7109375" defaultRowHeight="15.75"/>
  <cols>
    <col min="1" max="1" width="8" style="5" customWidth="1"/>
    <col min="2" max="2" width="46.140625" style="5" customWidth="1"/>
    <col min="3" max="3" width="35.7109375" style="5" customWidth="1"/>
    <col min="4" max="4" width="12.28515625" style="5" customWidth="1"/>
    <col min="5" max="5" width="6.42578125" style="5" customWidth="1"/>
    <col min="6" max="6" width="24.28515625" style="5" customWidth="1"/>
    <col min="7" max="7" width="10.85546875" style="5" customWidth="1"/>
    <col min="8" max="8" width="13.85546875" style="5" customWidth="1"/>
    <col min="9" max="9" width="13.28515625" style="5" customWidth="1"/>
    <col min="10" max="10" width="7.42578125" style="5" customWidth="1"/>
    <col min="11" max="12" width="12.28515625" style="5" customWidth="1"/>
    <col min="13" max="13" width="7.42578125" style="5" customWidth="1"/>
    <col min="14" max="14" width="13" style="5" customWidth="1"/>
    <col min="15" max="15" width="9.42578125" style="5" customWidth="1"/>
    <col min="16" max="16" width="7.42578125" style="5" customWidth="1"/>
    <col min="17" max="17" width="9.42578125" style="5" customWidth="1"/>
    <col min="18" max="18" width="10.5703125" style="5" customWidth="1"/>
    <col min="19" max="19" width="7.42578125" style="5" customWidth="1"/>
    <col min="20" max="21" width="9.42578125" style="5" customWidth="1"/>
    <col min="22" max="22" width="7.42578125" style="5" customWidth="1"/>
    <col min="23" max="24" width="9.42578125" style="5" customWidth="1"/>
    <col min="25" max="25" width="7.42578125" style="5" customWidth="1"/>
    <col min="26" max="27" width="9.42578125" style="5" customWidth="1"/>
    <col min="28" max="28" width="7.42578125" style="5" customWidth="1"/>
    <col min="29" max="30" width="9.42578125" style="5" customWidth="1"/>
    <col min="31" max="31" width="7.42578125" style="5" customWidth="1"/>
    <col min="32" max="33" width="9.42578125" style="5" customWidth="1"/>
    <col min="34" max="34" width="7.42578125" style="5" customWidth="1"/>
    <col min="35" max="36" width="9.42578125" style="5" customWidth="1"/>
    <col min="37" max="37" width="7.42578125" style="5" customWidth="1"/>
    <col min="38" max="39" width="9.42578125" style="5" customWidth="1"/>
    <col min="40" max="40" width="7.42578125" style="5" customWidth="1"/>
    <col min="41" max="157" width="9.42578125" style="13" customWidth="1"/>
    <col min="158" max="16384" width="15.7109375" style="13"/>
  </cols>
  <sheetData>
    <row r="1" spans="1:157" s="6" customFormat="1">
      <c r="A1" s="6" t="s">
        <v>80</v>
      </c>
      <c r="B1" s="6" t="s">
        <v>766</v>
      </c>
      <c r="C1" s="6" t="s">
        <v>929</v>
      </c>
      <c r="D1" s="6" t="s">
        <v>757</v>
      </c>
      <c r="E1" s="37" t="s">
        <v>107</v>
      </c>
      <c r="F1" s="37" t="s">
        <v>769</v>
      </c>
      <c r="G1" s="37" t="s">
        <v>770</v>
      </c>
      <c r="H1" s="6" t="s">
        <v>114</v>
      </c>
      <c r="I1" s="6" t="s">
        <v>87</v>
      </c>
      <c r="J1" s="6" t="s">
        <v>768</v>
      </c>
      <c r="K1" s="6" t="s">
        <v>109</v>
      </c>
      <c r="L1" s="6" t="s">
        <v>88</v>
      </c>
      <c r="M1" s="6" t="s">
        <v>116</v>
      </c>
      <c r="N1" s="6" t="s">
        <v>89</v>
      </c>
      <c r="O1" s="6" t="s">
        <v>90</v>
      </c>
      <c r="P1" s="6" t="s">
        <v>117</v>
      </c>
      <c r="Q1" s="6" t="s">
        <v>91</v>
      </c>
      <c r="R1" s="6" t="s">
        <v>92</v>
      </c>
      <c r="S1" s="6" t="s">
        <v>118</v>
      </c>
      <c r="T1" s="6" t="s">
        <v>93</v>
      </c>
      <c r="U1" s="6" t="s">
        <v>94</v>
      </c>
      <c r="V1" s="6" t="s">
        <v>119</v>
      </c>
      <c r="W1" s="6" t="s">
        <v>95</v>
      </c>
      <c r="X1" s="6" t="s">
        <v>96</v>
      </c>
      <c r="Y1" s="6" t="s">
        <v>120</v>
      </c>
      <c r="Z1" s="6" t="s">
        <v>97</v>
      </c>
      <c r="AA1" s="6" t="s">
        <v>98</v>
      </c>
      <c r="AB1" s="6" t="s">
        <v>121</v>
      </c>
      <c r="AC1" s="6" t="s">
        <v>99</v>
      </c>
      <c r="AD1" s="6" t="s">
        <v>100</v>
      </c>
      <c r="AE1" s="6" t="s">
        <v>122</v>
      </c>
      <c r="AF1" s="6" t="s">
        <v>101</v>
      </c>
      <c r="AG1" s="6" t="s">
        <v>102</v>
      </c>
      <c r="AH1" s="6" t="s">
        <v>123</v>
      </c>
      <c r="AI1" s="6" t="s">
        <v>103</v>
      </c>
      <c r="AJ1" s="6" t="s">
        <v>104</v>
      </c>
      <c r="AK1" s="6" t="s">
        <v>124</v>
      </c>
      <c r="AL1" s="6" t="s">
        <v>800</v>
      </c>
      <c r="AM1" s="6" t="s">
        <v>801</v>
      </c>
      <c r="AN1" s="6" t="s">
        <v>802</v>
      </c>
      <c r="AO1" s="6" t="s">
        <v>811</v>
      </c>
      <c r="AP1" s="6" t="s">
        <v>812</v>
      </c>
      <c r="AQ1" s="6" t="s">
        <v>810</v>
      </c>
      <c r="AR1" s="6" t="s">
        <v>813</v>
      </c>
      <c r="AS1" s="6" t="s">
        <v>814</v>
      </c>
      <c r="AT1" s="6" t="s">
        <v>815</v>
      </c>
      <c r="AU1" s="6" t="s">
        <v>816</v>
      </c>
      <c r="AV1" s="6" t="s">
        <v>817</v>
      </c>
      <c r="AW1" s="6" t="s">
        <v>818</v>
      </c>
      <c r="AX1" s="6" t="s">
        <v>819</v>
      </c>
      <c r="AY1" s="6" t="s">
        <v>820</v>
      </c>
      <c r="AZ1" s="6" t="s">
        <v>821</v>
      </c>
      <c r="BA1" s="6" t="s">
        <v>822</v>
      </c>
      <c r="BB1" s="6" t="s">
        <v>823</v>
      </c>
      <c r="BC1" s="6" t="s">
        <v>824</v>
      </c>
      <c r="BD1" s="6" t="s">
        <v>825</v>
      </c>
      <c r="BE1" s="6" t="s">
        <v>826</v>
      </c>
      <c r="BF1" s="6" t="s">
        <v>827</v>
      </c>
      <c r="BG1" s="6" t="s">
        <v>828</v>
      </c>
      <c r="BH1" s="6" t="s">
        <v>829</v>
      </c>
      <c r="BI1" s="6" t="s">
        <v>830</v>
      </c>
      <c r="BJ1" s="6" t="s">
        <v>831</v>
      </c>
      <c r="BK1" s="6" t="s">
        <v>832</v>
      </c>
      <c r="BL1" s="6" t="s">
        <v>833</v>
      </c>
      <c r="BM1" s="6" t="s">
        <v>834</v>
      </c>
      <c r="BN1" s="6" t="s">
        <v>835</v>
      </c>
      <c r="BO1" s="6" t="s">
        <v>836</v>
      </c>
      <c r="BP1" s="6" t="s">
        <v>837</v>
      </c>
      <c r="BQ1" s="6" t="s">
        <v>838</v>
      </c>
      <c r="BR1" s="6" t="s">
        <v>839</v>
      </c>
      <c r="BS1" s="6" t="s">
        <v>840</v>
      </c>
      <c r="BT1" s="6" t="s">
        <v>841</v>
      </c>
      <c r="BU1" s="6" t="s">
        <v>842</v>
      </c>
      <c r="BV1" s="6" t="s">
        <v>843</v>
      </c>
      <c r="BW1" s="6" t="s">
        <v>844</v>
      </c>
      <c r="BX1" s="6" t="s">
        <v>845</v>
      </c>
      <c r="BY1" s="6" t="s">
        <v>846</v>
      </c>
      <c r="BZ1" s="6" t="s">
        <v>847</v>
      </c>
      <c r="CA1" s="6" t="s">
        <v>848</v>
      </c>
      <c r="CB1" s="6" t="s">
        <v>849</v>
      </c>
      <c r="CC1" s="6" t="s">
        <v>850</v>
      </c>
      <c r="CD1" s="6" t="s">
        <v>851</v>
      </c>
      <c r="CE1" s="6" t="s">
        <v>852</v>
      </c>
      <c r="CF1" s="6" t="s">
        <v>853</v>
      </c>
      <c r="CG1" s="6" t="s">
        <v>854</v>
      </c>
      <c r="CH1" s="6" t="s">
        <v>855</v>
      </c>
      <c r="CI1" s="6" t="s">
        <v>856</v>
      </c>
      <c r="CJ1" s="6" t="s">
        <v>857</v>
      </c>
      <c r="CK1" s="6" t="s">
        <v>858</v>
      </c>
      <c r="CL1" s="6" t="s">
        <v>859</v>
      </c>
      <c r="CM1" s="6" t="s">
        <v>860</v>
      </c>
      <c r="CN1" s="6" t="s">
        <v>861</v>
      </c>
      <c r="CO1" s="6" t="s">
        <v>862</v>
      </c>
      <c r="CP1" s="6" t="s">
        <v>863</v>
      </c>
      <c r="CQ1" s="6" t="s">
        <v>864</v>
      </c>
      <c r="CR1" s="6" t="s">
        <v>865</v>
      </c>
      <c r="CS1" s="6" t="s">
        <v>866</v>
      </c>
      <c r="CT1" s="6" t="s">
        <v>867</v>
      </c>
      <c r="CU1" s="6" t="s">
        <v>868</v>
      </c>
      <c r="CV1" s="6" t="s">
        <v>869</v>
      </c>
      <c r="CW1" s="6" t="s">
        <v>870</v>
      </c>
      <c r="CX1" s="6" t="s">
        <v>871</v>
      </c>
      <c r="CY1" s="6" t="s">
        <v>872</v>
      </c>
      <c r="CZ1" s="6" t="s">
        <v>873</v>
      </c>
      <c r="DA1" s="6" t="s">
        <v>874</v>
      </c>
      <c r="DB1" s="6" t="s">
        <v>875</v>
      </c>
      <c r="DC1" s="6" t="s">
        <v>876</v>
      </c>
      <c r="DD1" s="6" t="s">
        <v>877</v>
      </c>
      <c r="DE1" s="6" t="s">
        <v>878</v>
      </c>
      <c r="DF1" s="6" t="s">
        <v>879</v>
      </c>
      <c r="DG1" s="6" t="s">
        <v>880</v>
      </c>
      <c r="DH1" s="6" t="s">
        <v>881</v>
      </c>
      <c r="DI1" s="6" t="s">
        <v>882</v>
      </c>
      <c r="DJ1" s="6" t="s">
        <v>883</v>
      </c>
      <c r="DK1" s="6" t="s">
        <v>884</v>
      </c>
      <c r="DL1" s="6" t="s">
        <v>885</v>
      </c>
      <c r="DM1" s="6" t="s">
        <v>886</v>
      </c>
      <c r="DN1" s="6" t="s">
        <v>887</v>
      </c>
      <c r="DO1" s="6" t="s">
        <v>888</v>
      </c>
      <c r="DP1" s="6" t="s">
        <v>889</v>
      </c>
      <c r="DQ1" s="6" t="s">
        <v>890</v>
      </c>
      <c r="DR1" s="6" t="s">
        <v>891</v>
      </c>
      <c r="DS1" s="6" t="s">
        <v>892</v>
      </c>
      <c r="DT1" s="6" t="s">
        <v>893</v>
      </c>
      <c r="DU1" s="6" t="s">
        <v>894</v>
      </c>
      <c r="DV1" s="6" t="s">
        <v>895</v>
      </c>
      <c r="DW1" s="6" t="s">
        <v>896</v>
      </c>
      <c r="DX1" s="6" t="s">
        <v>897</v>
      </c>
      <c r="DY1" s="6" t="s">
        <v>898</v>
      </c>
      <c r="DZ1" s="6" t="s">
        <v>899</v>
      </c>
      <c r="EA1" s="6" t="s">
        <v>900</v>
      </c>
      <c r="EB1" s="6" t="s">
        <v>901</v>
      </c>
      <c r="EC1" s="6" t="s">
        <v>902</v>
      </c>
      <c r="ED1" s="6" t="s">
        <v>903</v>
      </c>
      <c r="EE1" s="6" t="s">
        <v>904</v>
      </c>
      <c r="EF1" s="6" t="s">
        <v>905</v>
      </c>
      <c r="EG1" s="6" t="s">
        <v>906</v>
      </c>
      <c r="EH1" s="6" t="s">
        <v>907</v>
      </c>
      <c r="EI1" s="6" t="s">
        <v>908</v>
      </c>
      <c r="EJ1" s="6" t="s">
        <v>909</v>
      </c>
      <c r="EK1" s="6" t="s">
        <v>910</v>
      </c>
      <c r="EL1" s="6" t="s">
        <v>911</v>
      </c>
      <c r="EM1" s="6" t="s">
        <v>912</v>
      </c>
      <c r="EN1" s="6" t="s">
        <v>913</v>
      </c>
      <c r="EO1" s="6" t="s">
        <v>914</v>
      </c>
      <c r="EP1" s="6" t="s">
        <v>915</v>
      </c>
      <c r="EQ1" s="6" t="s">
        <v>916</v>
      </c>
      <c r="ER1" s="6" t="s">
        <v>917</v>
      </c>
      <c r="ES1" s="6" t="s">
        <v>918</v>
      </c>
      <c r="ET1" s="6" t="s">
        <v>919</v>
      </c>
      <c r="EU1" s="6" t="s">
        <v>920</v>
      </c>
      <c r="EV1" s="6" t="s">
        <v>921</v>
      </c>
      <c r="EW1" s="6" t="s">
        <v>922</v>
      </c>
      <c r="EX1" s="6" t="s">
        <v>923</v>
      </c>
      <c r="EY1" s="6" t="s">
        <v>924</v>
      </c>
      <c r="EZ1" s="6" t="s">
        <v>925</v>
      </c>
      <c r="FA1" s="6" t="s">
        <v>926</v>
      </c>
    </row>
    <row r="2" spans="1:157" s="6" customFormat="1">
      <c r="A2" s="6" t="s">
        <v>81</v>
      </c>
      <c r="B2" s="6" t="s">
        <v>767</v>
      </c>
      <c r="C2" s="6" t="s">
        <v>82</v>
      </c>
      <c r="D2" s="6" t="s">
        <v>105</v>
      </c>
      <c r="E2" s="37" t="s">
        <v>108</v>
      </c>
      <c r="F2" s="37" t="s">
        <v>759</v>
      </c>
      <c r="G2" s="37" t="s">
        <v>110</v>
      </c>
      <c r="H2" s="6" t="s">
        <v>85</v>
      </c>
      <c r="I2" s="6" t="s">
        <v>86</v>
      </c>
      <c r="J2" s="6" t="s">
        <v>115</v>
      </c>
      <c r="K2" s="6" t="s">
        <v>85</v>
      </c>
      <c r="L2" s="6" t="s">
        <v>86</v>
      </c>
      <c r="M2" s="6" t="s">
        <v>115</v>
      </c>
      <c r="N2" s="6" t="s">
        <v>85</v>
      </c>
      <c r="O2" s="6" t="s">
        <v>86</v>
      </c>
      <c r="P2" s="6" t="s">
        <v>115</v>
      </c>
      <c r="Q2" s="6" t="s">
        <v>85</v>
      </c>
      <c r="R2" s="6" t="s">
        <v>86</v>
      </c>
      <c r="S2" s="6" t="s">
        <v>115</v>
      </c>
      <c r="T2" s="6" t="s">
        <v>85</v>
      </c>
      <c r="U2" s="6" t="s">
        <v>86</v>
      </c>
      <c r="V2" s="6" t="s">
        <v>115</v>
      </c>
      <c r="W2" s="6" t="s">
        <v>85</v>
      </c>
      <c r="X2" s="6" t="s">
        <v>86</v>
      </c>
      <c r="Y2" s="6" t="s">
        <v>115</v>
      </c>
      <c r="Z2" s="6" t="s">
        <v>85</v>
      </c>
      <c r="AA2" s="6" t="s">
        <v>86</v>
      </c>
      <c r="AB2" s="6" t="s">
        <v>115</v>
      </c>
      <c r="AC2" s="6" t="s">
        <v>803</v>
      </c>
      <c r="AD2" s="6" t="s">
        <v>804</v>
      </c>
      <c r="AE2" s="6" t="s">
        <v>805</v>
      </c>
      <c r="AF2" s="6" t="s">
        <v>803</v>
      </c>
      <c r="AG2" s="6" t="s">
        <v>804</v>
      </c>
      <c r="AH2" s="6" t="s">
        <v>805</v>
      </c>
      <c r="AI2" s="6" t="s">
        <v>803</v>
      </c>
      <c r="AJ2" s="6" t="s">
        <v>804</v>
      </c>
      <c r="AK2" s="6" t="s">
        <v>805</v>
      </c>
      <c r="AL2" s="6" t="s">
        <v>803</v>
      </c>
      <c r="AM2" s="6" t="s">
        <v>804</v>
      </c>
      <c r="AN2" s="6" t="s">
        <v>805</v>
      </c>
      <c r="AO2" s="6" t="s">
        <v>85</v>
      </c>
      <c r="AP2" s="6" t="s">
        <v>86</v>
      </c>
      <c r="AQ2" s="6" t="s">
        <v>115</v>
      </c>
      <c r="AR2" s="6" t="s">
        <v>85</v>
      </c>
      <c r="AS2" s="6" t="s">
        <v>86</v>
      </c>
      <c r="AT2" s="6" t="s">
        <v>115</v>
      </c>
      <c r="AU2" s="6" t="s">
        <v>85</v>
      </c>
      <c r="AV2" s="6" t="s">
        <v>86</v>
      </c>
      <c r="AW2" s="6" t="s">
        <v>115</v>
      </c>
      <c r="AX2" s="6" t="s">
        <v>85</v>
      </c>
      <c r="AY2" s="6" t="s">
        <v>86</v>
      </c>
      <c r="AZ2" s="6" t="s">
        <v>115</v>
      </c>
      <c r="BA2" s="6" t="s">
        <v>85</v>
      </c>
      <c r="BB2" s="6" t="s">
        <v>86</v>
      </c>
      <c r="BC2" s="6" t="s">
        <v>115</v>
      </c>
      <c r="BD2" s="6" t="s">
        <v>85</v>
      </c>
      <c r="BE2" s="6" t="s">
        <v>86</v>
      </c>
      <c r="BF2" s="6" t="s">
        <v>115</v>
      </c>
      <c r="BG2" s="6" t="s">
        <v>85</v>
      </c>
      <c r="BH2" s="6" t="s">
        <v>86</v>
      </c>
      <c r="BI2" s="6" t="s">
        <v>115</v>
      </c>
      <c r="BJ2" s="6" t="s">
        <v>85</v>
      </c>
      <c r="BK2" s="6" t="s">
        <v>86</v>
      </c>
      <c r="BL2" s="6" t="s">
        <v>115</v>
      </c>
      <c r="BM2" s="6" t="s">
        <v>85</v>
      </c>
      <c r="BN2" s="6" t="s">
        <v>86</v>
      </c>
      <c r="BO2" s="6" t="s">
        <v>115</v>
      </c>
      <c r="BP2" s="6" t="s">
        <v>85</v>
      </c>
      <c r="BQ2" s="6" t="s">
        <v>86</v>
      </c>
      <c r="BR2" s="6" t="s">
        <v>115</v>
      </c>
      <c r="BS2" s="6" t="s">
        <v>85</v>
      </c>
      <c r="BT2" s="6" t="s">
        <v>86</v>
      </c>
      <c r="BU2" s="6" t="s">
        <v>115</v>
      </c>
      <c r="BV2" s="6" t="s">
        <v>85</v>
      </c>
      <c r="BW2" s="6" t="s">
        <v>86</v>
      </c>
      <c r="BX2" s="6" t="s">
        <v>115</v>
      </c>
      <c r="BY2" s="6" t="s">
        <v>85</v>
      </c>
      <c r="BZ2" s="6" t="s">
        <v>86</v>
      </c>
      <c r="CA2" s="6" t="s">
        <v>115</v>
      </c>
      <c r="CB2" s="6" t="s">
        <v>85</v>
      </c>
      <c r="CC2" s="6" t="s">
        <v>86</v>
      </c>
      <c r="CD2" s="6" t="s">
        <v>115</v>
      </c>
      <c r="CE2" s="6" t="s">
        <v>85</v>
      </c>
      <c r="CF2" s="6" t="s">
        <v>86</v>
      </c>
      <c r="CG2" s="6" t="s">
        <v>115</v>
      </c>
      <c r="CH2" s="6" t="s">
        <v>85</v>
      </c>
      <c r="CI2" s="6" t="s">
        <v>86</v>
      </c>
      <c r="CJ2" s="6" t="s">
        <v>115</v>
      </c>
      <c r="CK2" s="6" t="s">
        <v>85</v>
      </c>
      <c r="CL2" s="6" t="s">
        <v>86</v>
      </c>
      <c r="CM2" s="6" t="s">
        <v>115</v>
      </c>
      <c r="CN2" s="6" t="s">
        <v>85</v>
      </c>
      <c r="CO2" s="6" t="s">
        <v>86</v>
      </c>
      <c r="CP2" s="6" t="s">
        <v>115</v>
      </c>
      <c r="CQ2" s="6" t="s">
        <v>85</v>
      </c>
      <c r="CR2" s="6" t="s">
        <v>86</v>
      </c>
      <c r="CS2" s="6" t="s">
        <v>115</v>
      </c>
      <c r="CT2" s="6" t="s">
        <v>85</v>
      </c>
      <c r="CU2" s="6" t="s">
        <v>86</v>
      </c>
      <c r="CV2" s="6" t="s">
        <v>115</v>
      </c>
      <c r="CW2" s="6" t="s">
        <v>85</v>
      </c>
      <c r="CX2" s="6" t="s">
        <v>86</v>
      </c>
      <c r="CY2" s="6" t="s">
        <v>115</v>
      </c>
      <c r="CZ2" s="6" t="s">
        <v>85</v>
      </c>
      <c r="DA2" s="6" t="s">
        <v>86</v>
      </c>
      <c r="DB2" s="6" t="s">
        <v>115</v>
      </c>
      <c r="DC2" s="6" t="s">
        <v>85</v>
      </c>
      <c r="DD2" s="6" t="s">
        <v>86</v>
      </c>
      <c r="DE2" s="6" t="s">
        <v>115</v>
      </c>
      <c r="DF2" s="6" t="s">
        <v>85</v>
      </c>
      <c r="DG2" s="6" t="s">
        <v>86</v>
      </c>
      <c r="DH2" s="6" t="s">
        <v>115</v>
      </c>
      <c r="DI2" s="6" t="s">
        <v>85</v>
      </c>
      <c r="DJ2" s="6" t="s">
        <v>86</v>
      </c>
      <c r="DK2" s="6" t="s">
        <v>115</v>
      </c>
      <c r="DL2" s="6" t="s">
        <v>85</v>
      </c>
      <c r="DM2" s="6" t="s">
        <v>86</v>
      </c>
      <c r="DN2" s="6" t="s">
        <v>115</v>
      </c>
      <c r="DO2" s="6" t="s">
        <v>85</v>
      </c>
      <c r="DP2" s="6" t="s">
        <v>86</v>
      </c>
      <c r="DQ2" s="6" t="s">
        <v>115</v>
      </c>
      <c r="DR2" s="6" t="s">
        <v>85</v>
      </c>
      <c r="DS2" s="6" t="s">
        <v>86</v>
      </c>
      <c r="DT2" s="6" t="s">
        <v>115</v>
      </c>
      <c r="DU2" s="6" t="s">
        <v>85</v>
      </c>
      <c r="DV2" s="6" t="s">
        <v>86</v>
      </c>
      <c r="DW2" s="6" t="s">
        <v>115</v>
      </c>
      <c r="DX2" s="6" t="s">
        <v>85</v>
      </c>
      <c r="DY2" s="6" t="s">
        <v>86</v>
      </c>
      <c r="DZ2" s="6" t="s">
        <v>115</v>
      </c>
      <c r="EA2" s="6" t="s">
        <v>85</v>
      </c>
      <c r="EB2" s="6" t="s">
        <v>86</v>
      </c>
      <c r="EC2" s="6" t="s">
        <v>115</v>
      </c>
      <c r="ED2" s="6" t="s">
        <v>85</v>
      </c>
      <c r="EE2" s="6" t="s">
        <v>86</v>
      </c>
      <c r="EF2" s="6" t="s">
        <v>115</v>
      </c>
      <c r="EG2" s="6" t="s">
        <v>85</v>
      </c>
      <c r="EH2" s="6" t="s">
        <v>86</v>
      </c>
      <c r="EI2" s="6" t="s">
        <v>115</v>
      </c>
      <c r="EJ2" s="6" t="s">
        <v>85</v>
      </c>
      <c r="EK2" s="6" t="s">
        <v>86</v>
      </c>
      <c r="EL2" s="6" t="s">
        <v>115</v>
      </c>
      <c r="EM2" s="6" t="s">
        <v>85</v>
      </c>
      <c r="EN2" s="6" t="s">
        <v>86</v>
      </c>
      <c r="EO2" s="6" t="s">
        <v>115</v>
      </c>
      <c r="EP2" s="6" t="s">
        <v>85</v>
      </c>
      <c r="EQ2" s="6" t="s">
        <v>86</v>
      </c>
      <c r="ER2" s="6" t="s">
        <v>115</v>
      </c>
      <c r="ES2" s="6" t="s">
        <v>85</v>
      </c>
      <c r="ET2" s="6" t="s">
        <v>86</v>
      </c>
      <c r="EU2" s="6" t="s">
        <v>115</v>
      </c>
      <c r="EV2" s="6" t="s">
        <v>85</v>
      </c>
      <c r="EW2" s="6" t="s">
        <v>86</v>
      </c>
      <c r="EX2" s="6" t="s">
        <v>115</v>
      </c>
      <c r="EY2" s="6" t="s">
        <v>85</v>
      </c>
      <c r="EZ2" s="6" t="s">
        <v>86</v>
      </c>
      <c r="FA2" s="6" t="s">
        <v>115</v>
      </c>
    </row>
    <row r="3" spans="1:157" s="30" customFormat="1">
      <c r="E3" s="31"/>
      <c r="F3" s="31"/>
      <c r="G3" s="31"/>
    </row>
    <row r="4" spans="1:157" s="30" customFormat="1">
      <c r="B4" s="6" t="s">
        <v>787</v>
      </c>
      <c r="E4" s="31"/>
      <c r="F4" s="31"/>
      <c r="G4" s="31"/>
    </row>
    <row r="5" spans="1:157">
      <c r="A5" s="5">
        <v>1</v>
      </c>
      <c r="B5" s="5" t="s">
        <v>758</v>
      </c>
      <c r="C5" s="13" t="s">
        <v>113</v>
      </c>
      <c r="D5" s="5">
        <v>1</v>
      </c>
      <c r="E5" s="5">
        <v>1</v>
      </c>
      <c r="F5" s="5" t="s">
        <v>112</v>
      </c>
      <c r="H5" s="5" t="s">
        <v>106</v>
      </c>
      <c r="I5" s="5">
        <v>100</v>
      </c>
      <c r="K5" s="5" t="s">
        <v>756</v>
      </c>
      <c r="L5" s="5">
        <v>100</v>
      </c>
      <c r="N5" s="5" t="s">
        <v>938</v>
      </c>
      <c r="O5" s="5">
        <v>1</v>
      </c>
    </row>
    <row r="6" spans="1:157">
      <c r="A6" s="5">
        <v>2</v>
      </c>
      <c r="B6" s="5" t="s">
        <v>792</v>
      </c>
      <c r="C6" s="13" t="s">
        <v>776</v>
      </c>
      <c r="D6" s="5">
        <v>1</v>
      </c>
      <c r="E6" s="5">
        <v>1</v>
      </c>
      <c r="F6" s="5" t="s">
        <v>777</v>
      </c>
      <c r="G6" s="5">
        <v>2</v>
      </c>
      <c r="H6" s="5" t="s">
        <v>106</v>
      </c>
      <c r="I6" s="5">
        <v>10</v>
      </c>
      <c r="J6" s="5">
        <v>1</v>
      </c>
      <c r="K6" s="5" t="s">
        <v>756</v>
      </c>
      <c r="L6" s="5">
        <v>5</v>
      </c>
      <c r="M6" s="5">
        <v>1</v>
      </c>
    </row>
    <row r="7" spans="1:157">
      <c r="A7" s="5">
        <v>3</v>
      </c>
      <c r="B7" s="5" t="s">
        <v>778</v>
      </c>
      <c r="C7" s="13" t="s">
        <v>779</v>
      </c>
      <c r="D7" s="5">
        <v>1</v>
      </c>
      <c r="E7" s="5">
        <v>1</v>
      </c>
      <c r="F7" s="5" t="s">
        <v>780</v>
      </c>
      <c r="G7" s="5" t="s">
        <v>775</v>
      </c>
    </row>
    <row r="8" spans="1:157">
      <c r="A8" s="5">
        <v>4</v>
      </c>
      <c r="B8" s="5" t="s">
        <v>781</v>
      </c>
      <c r="C8" s="13" t="s">
        <v>782</v>
      </c>
      <c r="D8" s="5">
        <v>1</v>
      </c>
      <c r="E8" s="5">
        <v>1</v>
      </c>
      <c r="F8" s="5" t="s">
        <v>783</v>
      </c>
      <c r="G8" s="5" t="s">
        <v>775</v>
      </c>
    </row>
    <row r="9" spans="1:157">
      <c r="A9" s="5">
        <v>5</v>
      </c>
      <c r="B9" s="5" t="s">
        <v>784</v>
      </c>
      <c r="C9" s="13" t="s">
        <v>785</v>
      </c>
      <c r="D9" s="5">
        <v>1</v>
      </c>
      <c r="E9" s="5">
        <v>1</v>
      </c>
      <c r="F9" s="5" t="s">
        <v>786</v>
      </c>
      <c r="G9" s="5" t="s">
        <v>775</v>
      </c>
    </row>
    <row r="10" spans="1:157">
      <c r="A10" s="5">
        <v>6</v>
      </c>
      <c r="B10" s="5" t="s">
        <v>793</v>
      </c>
      <c r="C10" s="5" t="s">
        <v>793</v>
      </c>
      <c r="D10" s="5">
        <v>1</v>
      </c>
      <c r="E10" s="5">
        <v>1</v>
      </c>
      <c r="F10" s="5" t="s">
        <v>762</v>
      </c>
    </row>
    <row r="11" spans="1:157">
      <c r="A11" s="5">
        <v>7</v>
      </c>
      <c r="B11" s="5" t="s">
        <v>796</v>
      </c>
      <c r="C11" s="5" t="s">
        <v>796</v>
      </c>
      <c r="D11" s="5">
        <v>1</v>
      </c>
      <c r="E11" s="5">
        <v>1</v>
      </c>
      <c r="F11" s="5" t="s">
        <v>762</v>
      </c>
      <c r="H11" s="5" t="s">
        <v>938</v>
      </c>
      <c r="I11" s="5">
        <v>1</v>
      </c>
      <c r="K11" s="5" t="s">
        <v>938</v>
      </c>
      <c r="L11" s="5">
        <v>1</v>
      </c>
    </row>
    <row r="12" spans="1:157">
      <c r="A12" s="5">
        <v>8</v>
      </c>
      <c r="B12" s="5" t="s">
        <v>797</v>
      </c>
      <c r="C12" s="5" t="s">
        <v>797</v>
      </c>
      <c r="D12" s="5">
        <v>1</v>
      </c>
      <c r="E12" s="5">
        <v>1</v>
      </c>
      <c r="F12" s="5" t="s">
        <v>762</v>
      </c>
      <c r="H12" s="5" t="s">
        <v>106</v>
      </c>
      <c r="I12" s="5">
        <v>1</v>
      </c>
      <c r="K12" s="5" t="s">
        <v>756</v>
      </c>
      <c r="L12" s="5">
        <v>1</v>
      </c>
      <c r="N12" s="5" t="s">
        <v>938</v>
      </c>
      <c r="O12" s="5">
        <v>15</v>
      </c>
    </row>
    <row r="13" spans="1:157">
      <c r="A13" s="5">
        <v>9</v>
      </c>
      <c r="B13" s="5" t="s">
        <v>798</v>
      </c>
      <c r="C13" s="5" t="s">
        <v>798</v>
      </c>
      <c r="D13" s="5">
        <v>1</v>
      </c>
      <c r="E13" s="5">
        <v>1</v>
      </c>
      <c r="F13" s="5" t="s">
        <v>762</v>
      </c>
      <c r="H13" s="5" t="s">
        <v>761</v>
      </c>
      <c r="I13" s="5">
        <v>1</v>
      </c>
      <c r="K13" s="5" t="s">
        <v>761</v>
      </c>
      <c r="L13" s="5">
        <v>2</v>
      </c>
      <c r="N13" s="5" t="s">
        <v>761</v>
      </c>
      <c r="O13" s="5">
        <v>3</v>
      </c>
    </row>
    <row r="14" spans="1:157">
      <c r="A14" s="5">
        <v>10</v>
      </c>
      <c r="B14" s="5" t="s">
        <v>799</v>
      </c>
      <c r="C14" s="5" t="s">
        <v>799</v>
      </c>
      <c r="D14" s="5">
        <v>1</v>
      </c>
      <c r="E14" s="5">
        <v>1</v>
      </c>
      <c r="F14" s="5" t="s">
        <v>125</v>
      </c>
      <c r="G14" s="5">
        <v>1</v>
      </c>
      <c r="H14" s="5" t="s">
        <v>761</v>
      </c>
      <c r="I14" s="5">
        <v>1</v>
      </c>
      <c r="J14" s="5">
        <v>1</v>
      </c>
      <c r="K14" s="5" t="s">
        <v>761</v>
      </c>
      <c r="L14" s="5">
        <v>2</v>
      </c>
      <c r="M14" s="5">
        <v>1</v>
      </c>
      <c r="N14" s="5" t="s">
        <v>761</v>
      </c>
      <c r="O14" s="5">
        <v>3</v>
      </c>
      <c r="P14" s="5">
        <v>1</v>
      </c>
    </row>
    <row r="15" spans="1:157" ht="31.5">
      <c r="A15" s="5">
        <v>15</v>
      </c>
      <c r="B15" s="32" t="s">
        <v>807</v>
      </c>
      <c r="C15" s="38" t="s">
        <v>806</v>
      </c>
      <c r="D15" s="5">
        <v>1</v>
      </c>
      <c r="E15" s="5">
        <v>1</v>
      </c>
      <c r="F15" s="5" t="s">
        <v>941</v>
      </c>
      <c r="G15" s="5">
        <v>2</v>
      </c>
    </row>
    <row r="16" spans="1:157">
      <c r="B16" s="32"/>
      <c r="C16" s="38"/>
    </row>
    <row r="17" spans="1:9">
      <c r="B17" s="32"/>
      <c r="C17" s="38"/>
    </row>
    <row r="18" spans="1:9">
      <c r="B18" s="32"/>
      <c r="C18" s="38"/>
    </row>
    <row r="20" spans="1:9" s="30" customFormat="1">
      <c r="B20" s="6" t="s">
        <v>788</v>
      </c>
      <c r="E20" s="31"/>
      <c r="F20" s="31"/>
      <c r="G20" s="31"/>
    </row>
    <row r="21" spans="1:9" s="30" customFormat="1" ht="47.25">
      <c r="B21" s="36" t="s">
        <v>809</v>
      </c>
      <c r="E21" s="31"/>
      <c r="F21" s="31"/>
      <c r="G21" s="31"/>
    </row>
    <row r="22" spans="1:9">
      <c r="A22" s="5">
        <v>101</v>
      </c>
      <c r="B22" s="5" t="s">
        <v>789</v>
      </c>
      <c r="D22" s="5">
        <v>1</v>
      </c>
      <c r="E22" s="5">
        <v>1</v>
      </c>
      <c r="F22" s="5" t="s">
        <v>808</v>
      </c>
      <c r="H22" s="5" t="s">
        <v>106</v>
      </c>
      <c r="I22" s="5">
        <v>100</v>
      </c>
    </row>
    <row r="23" spans="1:9">
      <c r="A23" s="5">
        <v>102</v>
      </c>
      <c r="B23" s="5" t="s">
        <v>790</v>
      </c>
      <c r="D23" s="5">
        <v>1</v>
      </c>
      <c r="E23" s="5">
        <v>2</v>
      </c>
      <c r="F23" s="5" t="s">
        <v>112</v>
      </c>
      <c r="H23" s="5" t="s">
        <v>106</v>
      </c>
      <c r="I23" s="5">
        <v>200</v>
      </c>
    </row>
    <row r="24" spans="1:9">
      <c r="A24" s="5">
        <v>103</v>
      </c>
      <c r="B24" s="5" t="s">
        <v>791</v>
      </c>
      <c r="D24" s="5">
        <v>1</v>
      </c>
      <c r="E24" s="5">
        <v>3</v>
      </c>
      <c r="F24" s="5" t="s">
        <v>112</v>
      </c>
      <c r="H24" s="5" t="s">
        <v>106</v>
      </c>
      <c r="I24" s="5">
        <v>300</v>
      </c>
    </row>
    <row r="25" spans="1:9">
      <c r="A25" s="5">
        <v>104</v>
      </c>
      <c r="B25" s="5" t="s">
        <v>794</v>
      </c>
      <c r="D25" s="5">
        <v>1</v>
      </c>
      <c r="E25" s="5">
        <v>4</v>
      </c>
      <c r="F25" s="5" t="s">
        <v>112</v>
      </c>
      <c r="H25" s="5" t="s">
        <v>106</v>
      </c>
      <c r="I25" s="5">
        <v>400</v>
      </c>
    </row>
    <row r="26" spans="1:9">
      <c r="A26" s="5">
        <v>105</v>
      </c>
      <c r="B26" s="5" t="s">
        <v>795</v>
      </c>
      <c r="D26" s="5">
        <v>1</v>
      </c>
      <c r="E26" s="5">
        <v>5</v>
      </c>
      <c r="F26" s="5" t="s">
        <v>112</v>
      </c>
      <c r="H26" s="5" t="s">
        <v>106</v>
      </c>
      <c r="I26" s="5">
        <v>500</v>
      </c>
    </row>
    <row r="38" spans="1:13">
      <c r="B38" s="13"/>
      <c r="C38" s="38"/>
      <c r="L38" s="33"/>
      <c r="M38" s="33"/>
    </row>
    <row r="39" spans="1:13">
      <c r="A39" s="11" t="s">
        <v>1</v>
      </c>
      <c r="C39" s="38"/>
      <c r="L39" s="33"/>
      <c r="M39" s="33"/>
    </row>
    <row r="40" spans="1:13">
      <c r="C40" s="38"/>
      <c r="L40" s="33"/>
      <c r="M40" s="33"/>
    </row>
    <row r="41" spans="1:13">
      <c r="C41" s="38"/>
      <c r="L41" s="33"/>
      <c r="M41" s="33"/>
    </row>
    <row r="42" spans="1:13">
      <c r="C42" s="38"/>
      <c r="L42" s="33"/>
      <c r="M42" s="33"/>
    </row>
    <row r="43" spans="1:13">
      <c r="C43" s="38"/>
      <c r="L43" s="33"/>
      <c r="M43" s="33"/>
    </row>
    <row r="44" spans="1:13">
      <c r="C44" s="38"/>
      <c r="L44" s="33"/>
      <c r="M44" s="33"/>
    </row>
    <row r="45" spans="1:13">
      <c r="B45" s="32"/>
      <c r="C45" s="38"/>
      <c r="L45" s="33"/>
      <c r="M45" s="33"/>
    </row>
    <row r="46" spans="1:13">
      <c r="A46" s="13"/>
      <c r="B46" s="32"/>
      <c r="C46" s="38"/>
      <c r="L46" s="33"/>
      <c r="M46" s="33"/>
    </row>
    <row r="47" spans="1:13">
      <c r="C47" s="38"/>
      <c r="M47" s="33"/>
    </row>
    <row r="48" spans="1:13">
      <c r="C48" s="38"/>
      <c r="L48" s="34"/>
      <c r="M48" s="35"/>
    </row>
    <row r="49" spans="3:13">
      <c r="C49" s="38"/>
      <c r="F49" s="35"/>
      <c r="L49" s="34"/>
    </row>
    <row r="50" spans="3:13">
      <c r="C50" s="38"/>
      <c r="F50" s="35"/>
      <c r="L50" s="34"/>
    </row>
    <row r="51" spans="3:13">
      <c r="C51" s="38"/>
    </row>
    <row r="52" spans="3:13">
      <c r="C52" s="38"/>
      <c r="L52" s="29"/>
    </row>
    <row r="60" spans="3:13">
      <c r="F60" s="35"/>
    </row>
    <row r="61" spans="3:13">
      <c r="F61" s="35"/>
    </row>
    <row r="64" spans="3:13">
      <c r="L64" s="34"/>
      <c r="M64" s="34"/>
    </row>
    <row r="65" spans="12:13">
      <c r="L65" s="33"/>
      <c r="M65" s="34"/>
    </row>
    <row r="112" spans="12:13">
      <c r="L112" s="34"/>
      <c r="M112" s="34"/>
    </row>
    <row r="113" spans="12:13">
      <c r="L113" s="34"/>
      <c r="M113" s="34"/>
    </row>
    <row r="114" spans="12:13">
      <c r="L114" s="34"/>
      <c r="M114" s="34"/>
    </row>
    <row r="115" spans="12:13">
      <c r="L115" s="34"/>
      <c r="M115" s="34"/>
    </row>
    <row r="116" spans="12:13">
      <c r="L116" s="34"/>
      <c r="M116" s="34"/>
    </row>
    <row r="117" spans="12:13">
      <c r="L117" s="34"/>
      <c r="M117" s="34"/>
    </row>
  </sheetData>
  <dataConsolidate/>
  <phoneticPr fontId="1" type="noConversion"/>
  <conditionalFormatting sqref="A48:A1048576 A1:A45">
    <cfRule type="duplicateValues" dxfId="9" priority="10"/>
  </conditionalFormatting>
  <dataValidations count="2">
    <dataValidation type="list" allowBlank="1" showInputMessage="1" showErrorMessage="1" sqref="W5:W10 W12 AL12 N19 T19 Q19 H19 K19 H63:H1048576 K46:K1048576 AF5:AF19 H5:H14 Q5:Q14 T5:T14 K5:K14 Z22:Z1048576 AI22:AI1048576 T22:T1048576 Q22:Q1048576 W22:W1048576 AF22:AF1048576 AC22:AC1048576 K22:K44 H22:H47 N22:N1048576 Z5:Z19 AC5:AC19 AI5:AI19 W15:W19 N5:N14">
      <formula1>RewardType</formula1>
    </dataValidation>
    <dataValidation type="list" allowBlank="1" showInputMessage="1" showErrorMessage="1" sqref="F63:F1048576 F22:F48 N15:N18 H15:H18 K15:K18 F5:F19 T15:T18 Q15:Q18">
      <formula1>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XA805"/>
  <sheetViews>
    <sheetView topLeftCell="A7" zoomScale="80" zoomScaleNormal="80" workbookViewId="0">
      <selection activeCell="E35" sqref="E35"/>
    </sheetView>
  </sheetViews>
  <sheetFormatPr defaultColWidth="12.7109375" defaultRowHeight="17.25" customHeight="1"/>
  <cols>
    <col min="1" max="1" width="33.28515625" style="5" customWidth="1"/>
    <col min="2" max="2" width="18" style="5" customWidth="1"/>
    <col min="3" max="3" width="17.140625" style="5" customWidth="1"/>
    <col min="6" max="6" width="19.7109375" customWidth="1"/>
    <col min="7" max="7" width="18.85546875" customWidth="1"/>
    <col min="8" max="8" width="15.140625" customWidth="1"/>
    <col min="9" max="9" width="11.140625" customWidth="1"/>
    <col min="11" max="11" width="20.85546875" customWidth="1"/>
    <col min="13" max="13" width="26.5703125" customWidth="1"/>
  </cols>
  <sheetData>
    <row r="1" spans="1:625" s="6" customFormat="1" ht="15.75">
      <c r="A1" s="6" t="s">
        <v>130</v>
      </c>
      <c r="B1" s="6" t="s">
        <v>83</v>
      </c>
      <c r="C1" s="6" t="s">
        <v>77</v>
      </c>
      <c r="D1" s="6" t="s">
        <v>105</v>
      </c>
      <c r="E1" s="14" t="s">
        <v>108</v>
      </c>
      <c r="F1" s="23" t="s">
        <v>132</v>
      </c>
      <c r="G1" s="23" t="s">
        <v>110</v>
      </c>
      <c r="H1" s="6" t="s">
        <v>133</v>
      </c>
      <c r="I1" s="6" t="s">
        <v>134</v>
      </c>
      <c r="J1" s="6" t="s">
        <v>135</v>
      </c>
      <c r="K1" s="6" t="s">
        <v>136</v>
      </c>
      <c r="L1" s="6" t="s">
        <v>137</v>
      </c>
      <c r="M1" s="6" t="s">
        <v>138</v>
      </c>
      <c r="N1" s="6" t="s">
        <v>139</v>
      </c>
      <c r="O1" s="6" t="s">
        <v>140</v>
      </c>
      <c r="P1" s="6" t="s">
        <v>141</v>
      </c>
      <c r="Q1" s="6" t="s">
        <v>142</v>
      </c>
      <c r="R1" s="6" t="s">
        <v>143</v>
      </c>
      <c r="S1" s="6" t="s">
        <v>144</v>
      </c>
      <c r="T1" s="6" t="s">
        <v>145</v>
      </c>
      <c r="U1" s="6" t="s">
        <v>146</v>
      </c>
      <c r="V1" s="6" t="s">
        <v>147</v>
      </c>
      <c r="W1" s="6" t="s">
        <v>148</v>
      </c>
      <c r="X1" s="6" t="s">
        <v>149</v>
      </c>
      <c r="Y1" s="6" t="s">
        <v>150</v>
      </c>
      <c r="Z1" s="6" t="s">
        <v>151</v>
      </c>
      <c r="AA1" s="6" t="s">
        <v>152</v>
      </c>
      <c r="AB1" s="6" t="s">
        <v>153</v>
      </c>
      <c r="AC1" s="6" t="s">
        <v>154</v>
      </c>
      <c r="AD1" s="6" t="s">
        <v>155</v>
      </c>
      <c r="AE1" s="6" t="s">
        <v>156</v>
      </c>
      <c r="AF1" s="6" t="s">
        <v>157</v>
      </c>
      <c r="AG1" s="6" t="s">
        <v>158</v>
      </c>
      <c r="AH1" s="6" t="s">
        <v>159</v>
      </c>
      <c r="AI1" s="6" t="s">
        <v>160</v>
      </c>
      <c r="AJ1" s="6" t="s">
        <v>161</v>
      </c>
      <c r="AK1" s="6" t="s">
        <v>162</v>
      </c>
      <c r="AL1" s="6" t="s">
        <v>163</v>
      </c>
      <c r="AM1" s="6" t="s">
        <v>164</v>
      </c>
      <c r="AN1" s="6" t="s">
        <v>165</v>
      </c>
      <c r="AO1" s="6" t="s">
        <v>166</v>
      </c>
      <c r="AP1" s="6" t="s">
        <v>167</v>
      </c>
      <c r="AQ1" s="6" t="s">
        <v>168</v>
      </c>
      <c r="AR1" s="6" t="s">
        <v>169</v>
      </c>
      <c r="AS1" s="6" t="s">
        <v>170</v>
      </c>
      <c r="AT1" s="6" t="s">
        <v>171</v>
      </c>
      <c r="AU1" s="6" t="s">
        <v>172</v>
      </c>
      <c r="AV1" s="6" t="s">
        <v>173</v>
      </c>
      <c r="AW1" s="6" t="s">
        <v>174</v>
      </c>
      <c r="AX1" s="6" t="s">
        <v>175</v>
      </c>
      <c r="AY1" s="6" t="s">
        <v>176</v>
      </c>
      <c r="AZ1" s="6" t="s">
        <v>177</v>
      </c>
      <c r="BA1" s="6" t="s">
        <v>178</v>
      </c>
      <c r="BB1" s="6" t="s">
        <v>179</v>
      </c>
      <c r="BC1" s="6" t="s">
        <v>180</v>
      </c>
      <c r="BD1" s="6" t="s">
        <v>181</v>
      </c>
      <c r="BE1" s="6" t="s">
        <v>182</v>
      </c>
      <c r="BF1" s="6" t="s">
        <v>183</v>
      </c>
      <c r="BG1" s="6" t="s">
        <v>184</v>
      </c>
      <c r="BH1" s="6" t="s">
        <v>185</v>
      </c>
      <c r="BI1" s="6" t="s">
        <v>186</v>
      </c>
      <c r="BJ1" s="6" t="s">
        <v>187</v>
      </c>
      <c r="BK1" s="6" t="s">
        <v>188</v>
      </c>
      <c r="BL1" s="6" t="s">
        <v>189</v>
      </c>
      <c r="BM1" s="6" t="s">
        <v>190</v>
      </c>
      <c r="BN1" s="6" t="s">
        <v>191</v>
      </c>
      <c r="BO1" s="6" t="s">
        <v>192</v>
      </c>
      <c r="BP1" s="6" t="s">
        <v>193</v>
      </c>
      <c r="BQ1" s="6" t="s">
        <v>194</v>
      </c>
      <c r="BR1" s="6" t="s">
        <v>195</v>
      </c>
      <c r="BS1" s="6" t="s">
        <v>196</v>
      </c>
      <c r="BT1" s="6" t="s">
        <v>197</v>
      </c>
      <c r="BU1" s="6" t="s">
        <v>198</v>
      </c>
      <c r="BV1" s="6" t="s">
        <v>199</v>
      </c>
      <c r="BW1" s="6" t="s">
        <v>200</v>
      </c>
      <c r="BX1" s="6" t="s">
        <v>201</v>
      </c>
      <c r="BY1" s="6" t="s">
        <v>202</v>
      </c>
      <c r="BZ1" s="6" t="s">
        <v>203</v>
      </c>
      <c r="CA1" s="6" t="s">
        <v>204</v>
      </c>
      <c r="CB1" s="6" t="s">
        <v>205</v>
      </c>
      <c r="CC1" s="6" t="s">
        <v>206</v>
      </c>
      <c r="CD1" s="6" t="s">
        <v>207</v>
      </c>
      <c r="CE1" s="6" t="s">
        <v>208</v>
      </c>
      <c r="CF1" s="6" t="s">
        <v>209</v>
      </c>
      <c r="CG1" s="6" t="s">
        <v>210</v>
      </c>
      <c r="CH1" s="6" t="s">
        <v>211</v>
      </c>
      <c r="CI1" s="6" t="s">
        <v>212</v>
      </c>
      <c r="CJ1" s="6" t="s">
        <v>213</v>
      </c>
      <c r="CK1" s="6" t="s">
        <v>214</v>
      </c>
      <c r="CL1" s="6" t="s">
        <v>215</v>
      </c>
      <c r="CM1" s="6" t="s">
        <v>216</v>
      </c>
      <c r="CN1" s="6" t="s">
        <v>217</v>
      </c>
      <c r="CO1" s="6" t="s">
        <v>218</v>
      </c>
      <c r="CP1" s="6" t="s">
        <v>219</v>
      </c>
      <c r="CQ1" s="6" t="s">
        <v>220</v>
      </c>
      <c r="CR1" s="6" t="s">
        <v>221</v>
      </c>
      <c r="CS1" s="6" t="s">
        <v>222</v>
      </c>
      <c r="CT1" s="6" t="s">
        <v>223</v>
      </c>
      <c r="CU1" s="6" t="s">
        <v>224</v>
      </c>
      <c r="CV1" s="6" t="s">
        <v>225</v>
      </c>
      <c r="CW1" s="6" t="s">
        <v>226</v>
      </c>
      <c r="CX1" s="6" t="s">
        <v>227</v>
      </c>
      <c r="CY1" s="6" t="s">
        <v>228</v>
      </c>
      <c r="CZ1" s="6" t="s">
        <v>229</v>
      </c>
      <c r="DA1" s="6" t="s">
        <v>230</v>
      </c>
      <c r="DB1" s="6" t="s">
        <v>231</v>
      </c>
      <c r="DC1" s="6" t="s">
        <v>232</v>
      </c>
      <c r="DD1" s="6" t="s">
        <v>233</v>
      </c>
      <c r="DE1" s="6" t="s">
        <v>234</v>
      </c>
      <c r="DF1" s="6" t="s">
        <v>235</v>
      </c>
      <c r="DG1" s="6" t="s">
        <v>236</v>
      </c>
      <c r="DH1" s="6" t="s">
        <v>237</v>
      </c>
      <c r="DI1" s="6" t="s">
        <v>238</v>
      </c>
      <c r="DJ1" s="6" t="s">
        <v>239</v>
      </c>
      <c r="DK1" s="6" t="s">
        <v>240</v>
      </c>
      <c r="DL1" s="6" t="s">
        <v>241</v>
      </c>
      <c r="DM1" s="6" t="s">
        <v>242</v>
      </c>
      <c r="DN1" s="6" t="s">
        <v>243</v>
      </c>
      <c r="DO1" s="6" t="s">
        <v>244</v>
      </c>
      <c r="DP1" s="6" t="s">
        <v>245</v>
      </c>
      <c r="DQ1" s="6" t="s">
        <v>246</v>
      </c>
      <c r="DR1" s="6" t="s">
        <v>247</v>
      </c>
      <c r="DS1" s="6" t="s">
        <v>248</v>
      </c>
      <c r="DT1" s="6" t="s">
        <v>249</v>
      </c>
      <c r="DU1" s="6" t="s">
        <v>250</v>
      </c>
      <c r="DV1" s="6" t="s">
        <v>251</v>
      </c>
      <c r="DW1" s="6" t="s">
        <v>252</v>
      </c>
      <c r="DX1" s="6" t="s">
        <v>253</v>
      </c>
      <c r="DY1" s="6" t="s">
        <v>254</v>
      </c>
      <c r="DZ1" s="6" t="s">
        <v>255</v>
      </c>
      <c r="EA1" s="6" t="s">
        <v>256</v>
      </c>
      <c r="EB1" s="6" t="s">
        <v>257</v>
      </c>
      <c r="EC1" s="6" t="s">
        <v>258</v>
      </c>
      <c r="ED1" s="6" t="s">
        <v>259</v>
      </c>
      <c r="EE1" s="6" t="s">
        <v>260</v>
      </c>
      <c r="EF1" s="6" t="s">
        <v>261</v>
      </c>
      <c r="EG1" s="6" t="s">
        <v>262</v>
      </c>
      <c r="EH1" s="6" t="s">
        <v>263</v>
      </c>
      <c r="EI1" s="6" t="s">
        <v>264</v>
      </c>
      <c r="EJ1" s="6" t="s">
        <v>265</v>
      </c>
      <c r="EK1" s="6" t="s">
        <v>266</v>
      </c>
      <c r="EL1" s="6" t="s">
        <v>267</v>
      </c>
      <c r="EM1" s="6" t="s">
        <v>268</v>
      </c>
      <c r="EN1" s="6" t="s">
        <v>269</v>
      </c>
      <c r="EO1" s="6" t="s">
        <v>270</v>
      </c>
      <c r="EP1" s="6" t="s">
        <v>271</v>
      </c>
      <c r="EQ1" s="6" t="s">
        <v>272</v>
      </c>
      <c r="ER1" s="6" t="s">
        <v>273</v>
      </c>
      <c r="ES1" s="6" t="s">
        <v>274</v>
      </c>
      <c r="ET1" s="6" t="s">
        <v>275</v>
      </c>
      <c r="EU1" s="6" t="s">
        <v>276</v>
      </c>
      <c r="EV1" s="6" t="s">
        <v>277</v>
      </c>
      <c r="EW1" s="6" t="s">
        <v>278</v>
      </c>
      <c r="EX1" s="6" t="s">
        <v>279</v>
      </c>
      <c r="EY1" s="6" t="s">
        <v>280</v>
      </c>
      <c r="EZ1" s="6" t="s">
        <v>281</v>
      </c>
      <c r="FA1" s="6" t="s">
        <v>282</v>
      </c>
      <c r="FB1" s="6" t="s">
        <v>283</v>
      </c>
      <c r="FC1" s="6" t="s">
        <v>284</v>
      </c>
      <c r="FD1" s="6" t="s">
        <v>285</v>
      </c>
      <c r="FE1" s="6" t="s">
        <v>286</v>
      </c>
      <c r="FF1" s="6" t="s">
        <v>287</v>
      </c>
      <c r="FG1" s="6" t="s">
        <v>288</v>
      </c>
      <c r="FH1" s="6" t="s">
        <v>289</v>
      </c>
      <c r="FI1" s="6" t="s">
        <v>290</v>
      </c>
      <c r="FJ1" s="6" t="s">
        <v>291</v>
      </c>
      <c r="FK1" s="6" t="s">
        <v>292</v>
      </c>
      <c r="FL1" s="6" t="s">
        <v>293</v>
      </c>
      <c r="FM1" s="6" t="s">
        <v>294</v>
      </c>
      <c r="FN1" s="6" t="s">
        <v>295</v>
      </c>
      <c r="FO1" s="6" t="s">
        <v>296</v>
      </c>
      <c r="FP1" s="6" t="s">
        <v>297</v>
      </c>
      <c r="FQ1" s="6" t="s">
        <v>298</v>
      </c>
      <c r="FR1" s="6" t="s">
        <v>299</v>
      </c>
      <c r="FS1" s="6" t="s">
        <v>300</v>
      </c>
      <c r="FT1" s="6" t="s">
        <v>301</v>
      </c>
      <c r="FU1" s="6" t="s">
        <v>302</v>
      </c>
      <c r="FV1" s="6" t="s">
        <v>303</v>
      </c>
      <c r="FW1" s="6" t="s">
        <v>304</v>
      </c>
      <c r="FX1" s="6" t="s">
        <v>305</v>
      </c>
      <c r="FY1" s="6" t="s">
        <v>306</v>
      </c>
      <c r="FZ1" s="6" t="s">
        <v>307</v>
      </c>
      <c r="GA1" s="6" t="s">
        <v>308</v>
      </c>
      <c r="GB1" s="6" t="s">
        <v>309</v>
      </c>
      <c r="GC1" s="6" t="s">
        <v>310</v>
      </c>
      <c r="GD1" s="6" t="s">
        <v>311</v>
      </c>
      <c r="GE1" s="6" t="s">
        <v>312</v>
      </c>
      <c r="GF1" s="6" t="s">
        <v>313</v>
      </c>
      <c r="GG1" s="6" t="s">
        <v>314</v>
      </c>
      <c r="GH1" s="6" t="s">
        <v>315</v>
      </c>
      <c r="GI1" s="6" t="s">
        <v>316</v>
      </c>
      <c r="GJ1" s="6" t="s">
        <v>317</v>
      </c>
      <c r="GK1" s="6" t="s">
        <v>318</v>
      </c>
      <c r="GL1" s="6" t="s">
        <v>319</v>
      </c>
      <c r="GM1" s="6" t="s">
        <v>320</v>
      </c>
      <c r="GN1" s="6" t="s">
        <v>321</v>
      </c>
      <c r="GO1" s="6" t="s">
        <v>322</v>
      </c>
      <c r="GP1" s="6" t="s">
        <v>323</v>
      </c>
      <c r="GQ1" s="6" t="s">
        <v>324</v>
      </c>
      <c r="GR1" s="6" t="s">
        <v>325</v>
      </c>
      <c r="GS1" s="6" t="s">
        <v>326</v>
      </c>
      <c r="GT1" s="6" t="s">
        <v>327</v>
      </c>
      <c r="GU1" s="6" t="s">
        <v>328</v>
      </c>
      <c r="GV1" s="6" t="s">
        <v>329</v>
      </c>
      <c r="GW1" s="6" t="s">
        <v>330</v>
      </c>
      <c r="GX1" s="6" t="s">
        <v>331</v>
      </c>
      <c r="GY1" s="6" t="s">
        <v>332</v>
      </c>
      <c r="GZ1" s="6" t="s">
        <v>333</v>
      </c>
      <c r="HA1" s="6" t="s">
        <v>334</v>
      </c>
      <c r="HB1" s="6" t="s">
        <v>335</v>
      </c>
      <c r="HC1" s="6" t="s">
        <v>336</v>
      </c>
      <c r="HD1" s="6" t="s">
        <v>337</v>
      </c>
      <c r="HE1" s="6" t="s">
        <v>338</v>
      </c>
      <c r="HF1" s="6" t="s">
        <v>339</v>
      </c>
      <c r="HG1" s="6" t="s">
        <v>340</v>
      </c>
      <c r="HH1" s="6" t="s">
        <v>341</v>
      </c>
      <c r="HI1" s="6" t="s">
        <v>342</v>
      </c>
      <c r="HJ1" s="6" t="s">
        <v>343</v>
      </c>
      <c r="HK1" s="6" t="s">
        <v>344</v>
      </c>
      <c r="HL1" s="6" t="s">
        <v>345</v>
      </c>
      <c r="HM1" s="6" t="s">
        <v>346</v>
      </c>
      <c r="HN1" s="6" t="s">
        <v>347</v>
      </c>
      <c r="HO1" s="6" t="s">
        <v>348</v>
      </c>
      <c r="HP1" s="6" t="s">
        <v>349</v>
      </c>
      <c r="HQ1" s="6" t="s">
        <v>350</v>
      </c>
      <c r="HR1" s="6" t="s">
        <v>351</v>
      </c>
      <c r="HS1" s="6" t="s">
        <v>352</v>
      </c>
      <c r="HT1" s="6" t="s">
        <v>353</v>
      </c>
      <c r="HU1" s="6" t="s">
        <v>354</v>
      </c>
      <c r="HV1" s="6" t="s">
        <v>355</v>
      </c>
      <c r="HW1" s="6" t="s">
        <v>356</v>
      </c>
      <c r="HX1" s="6" t="s">
        <v>357</v>
      </c>
      <c r="HY1" s="6" t="s">
        <v>358</v>
      </c>
      <c r="HZ1" s="6" t="s">
        <v>359</v>
      </c>
      <c r="IA1" s="6" t="s">
        <v>360</v>
      </c>
      <c r="IB1" s="6" t="s">
        <v>361</v>
      </c>
      <c r="IC1" s="6" t="s">
        <v>362</v>
      </c>
      <c r="ID1" s="6" t="s">
        <v>363</v>
      </c>
      <c r="IE1" s="6" t="s">
        <v>364</v>
      </c>
      <c r="IF1" s="6" t="s">
        <v>365</v>
      </c>
      <c r="IG1" s="6" t="s">
        <v>366</v>
      </c>
      <c r="IH1" s="6" t="s">
        <v>367</v>
      </c>
      <c r="II1" s="6" t="s">
        <v>368</v>
      </c>
      <c r="IJ1" s="6" t="s">
        <v>369</v>
      </c>
      <c r="IK1" s="6" t="s">
        <v>370</v>
      </c>
      <c r="IL1" s="6" t="s">
        <v>371</v>
      </c>
      <c r="IM1" s="6" t="s">
        <v>372</v>
      </c>
      <c r="IN1" s="6" t="s">
        <v>373</v>
      </c>
      <c r="IO1" s="6" t="s">
        <v>374</v>
      </c>
      <c r="IP1" s="6" t="s">
        <v>375</v>
      </c>
      <c r="IQ1" s="6" t="s">
        <v>376</v>
      </c>
      <c r="IR1" s="6" t="s">
        <v>377</v>
      </c>
      <c r="IS1" s="6" t="s">
        <v>378</v>
      </c>
      <c r="IT1" s="6" t="s">
        <v>379</v>
      </c>
      <c r="IU1" s="6" t="s">
        <v>380</v>
      </c>
      <c r="IV1" s="6" t="s">
        <v>381</v>
      </c>
      <c r="IW1" s="6" t="s">
        <v>382</v>
      </c>
      <c r="IX1" s="6" t="s">
        <v>383</v>
      </c>
      <c r="IY1" s="6" t="s">
        <v>384</v>
      </c>
      <c r="IZ1" s="6" t="s">
        <v>385</v>
      </c>
      <c r="JA1" s="6" t="s">
        <v>386</v>
      </c>
      <c r="JB1" s="6" t="s">
        <v>387</v>
      </c>
      <c r="JC1" s="6" t="s">
        <v>388</v>
      </c>
      <c r="JD1" s="6" t="s">
        <v>389</v>
      </c>
      <c r="JE1" s="6" t="s">
        <v>390</v>
      </c>
      <c r="JF1" s="6" t="s">
        <v>391</v>
      </c>
      <c r="JG1" s="6" t="s">
        <v>392</v>
      </c>
      <c r="JH1" s="6" t="s">
        <v>393</v>
      </c>
      <c r="JI1" s="6" t="s">
        <v>394</v>
      </c>
      <c r="JJ1" s="6" t="s">
        <v>395</v>
      </c>
      <c r="JK1" s="6" t="s">
        <v>396</v>
      </c>
      <c r="JL1" s="6" t="s">
        <v>397</v>
      </c>
      <c r="JM1" s="6" t="s">
        <v>398</v>
      </c>
      <c r="JN1" s="6" t="s">
        <v>399</v>
      </c>
      <c r="JO1" s="6" t="s">
        <v>400</v>
      </c>
      <c r="JP1" s="6" t="s">
        <v>401</v>
      </c>
      <c r="JQ1" s="6" t="s">
        <v>402</v>
      </c>
      <c r="JR1" s="6" t="s">
        <v>403</v>
      </c>
      <c r="JS1" s="6" t="s">
        <v>404</v>
      </c>
      <c r="JT1" s="6" t="s">
        <v>405</v>
      </c>
      <c r="JU1" s="6" t="s">
        <v>406</v>
      </c>
      <c r="JV1" s="6" t="s">
        <v>407</v>
      </c>
      <c r="JW1" s="6" t="s">
        <v>408</v>
      </c>
      <c r="JX1" s="6" t="s">
        <v>409</v>
      </c>
      <c r="JY1" s="6" t="s">
        <v>410</v>
      </c>
      <c r="JZ1" s="6" t="s">
        <v>411</v>
      </c>
      <c r="KA1" s="6" t="s">
        <v>412</v>
      </c>
      <c r="KB1" s="6" t="s">
        <v>413</v>
      </c>
      <c r="KC1" s="6" t="s">
        <v>414</v>
      </c>
      <c r="KD1" s="6" t="s">
        <v>415</v>
      </c>
      <c r="KE1" s="6" t="s">
        <v>416</v>
      </c>
      <c r="KF1" s="6" t="s">
        <v>417</v>
      </c>
      <c r="KG1" s="6" t="s">
        <v>418</v>
      </c>
      <c r="KH1" s="6" t="s">
        <v>419</v>
      </c>
      <c r="KI1" s="6" t="s">
        <v>420</v>
      </c>
      <c r="KJ1" s="6" t="s">
        <v>421</v>
      </c>
      <c r="KK1" s="6" t="s">
        <v>422</v>
      </c>
      <c r="KL1" s="6" t="s">
        <v>423</v>
      </c>
      <c r="KM1" s="6" t="s">
        <v>424</v>
      </c>
      <c r="KN1" s="6" t="s">
        <v>425</v>
      </c>
      <c r="KO1" s="6" t="s">
        <v>426</v>
      </c>
      <c r="KP1" s="6" t="s">
        <v>427</v>
      </c>
      <c r="KQ1" s="6" t="s">
        <v>428</v>
      </c>
      <c r="KR1" s="6" t="s">
        <v>429</v>
      </c>
      <c r="KS1" s="6" t="s">
        <v>430</v>
      </c>
      <c r="KT1" s="6" t="s">
        <v>431</v>
      </c>
      <c r="KU1" s="6" t="s">
        <v>432</v>
      </c>
      <c r="KV1" s="6" t="s">
        <v>433</v>
      </c>
      <c r="KW1" s="6" t="s">
        <v>434</v>
      </c>
      <c r="KX1" s="6" t="s">
        <v>435</v>
      </c>
      <c r="KY1" s="6" t="s">
        <v>436</v>
      </c>
      <c r="KZ1" s="6" t="s">
        <v>437</v>
      </c>
      <c r="LA1" s="6" t="s">
        <v>438</v>
      </c>
      <c r="LB1" s="6" t="s">
        <v>439</v>
      </c>
      <c r="LC1" s="6" t="s">
        <v>440</v>
      </c>
      <c r="LD1" s="6" t="s">
        <v>441</v>
      </c>
      <c r="LE1" s="6" t="s">
        <v>442</v>
      </c>
      <c r="LF1" s="6" t="s">
        <v>443</v>
      </c>
      <c r="LG1" s="6" t="s">
        <v>444</v>
      </c>
      <c r="LH1" s="6" t="s">
        <v>445</v>
      </c>
      <c r="LI1" s="6" t="s">
        <v>446</v>
      </c>
      <c r="LJ1" s="6" t="s">
        <v>447</v>
      </c>
      <c r="LK1" s="6" t="s">
        <v>448</v>
      </c>
      <c r="LL1" s="6" t="s">
        <v>449</v>
      </c>
      <c r="LM1" s="6" t="s">
        <v>450</v>
      </c>
      <c r="LN1" s="6" t="s">
        <v>451</v>
      </c>
      <c r="LO1" s="6" t="s">
        <v>452</v>
      </c>
      <c r="LP1" s="6" t="s">
        <v>453</v>
      </c>
      <c r="LQ1" s="6" t="s">
        <v>454</v>
      </c>
      <c r="LR1" s="6" t="s">
        <v>455</v>
      </c>
      <c r="LS1" s="6" t="s">
        <v>456</v>
      </c>
      <c r="LT1" s="6" t="s">
        <v>457</v>
      </c>
      <c r="LU1" s="6" t="s">
        <v>458</v>
      </c>
      <c r="LV1" s="6" t="s">
        <v>459</v>
      </c>
      <c r="LW1" s="6" t="s">
        <v>460</v>
      </c>
      <c r="LX1" s="6" t="s">
        <v>461</v>
      </c>
      <c r="LY1" s="6" t="s">
        <v>462</v>
      </c>
      <c r="LZ1" s="6" t="s">
        <v>463</v>
      </c>
      <c r="MA1" s="6" t="s">
        <v>464</v>
      </c>
      <c r="MB1" s="6" t="s">
        <v>465</v>
      </c>
      <c r="MC1" s="6" t="s">
        <v>466</v>
      </c>
      <c r="MD1" s="6" t="s">
        <v>467</v>
      </c>
      <c r="ME1" s="6" t="s">
        <v>468</v>
      </c>
      <c r="MF1" s="6" t="s">
        <v>469</v>
      </c>
      <c r="MG1" s="6" t="s">
        <v>470</v>
      </c>
      <c r="MH1" s="6" t="s">
        <v>471</v>
      </c>
      <c r="MI1" s="6" t="s">
        <v>472</v>
      </c>
      <c r="MJ1" s="6" t="s">
        <v>473</v>
      </c>
      <c r="MK1" s="6" t="s">
        <v>474</v>
      </c>
      <c r="ML1" s="6" t="s">
        <v>475</v>
      </c>
      <c r="MM1" s="6" t="s">
        <v>476</v>
      </c>
      <c r="MN1" s="6" t="s">
        <v>477</v>
      </c>
      <c r="MO1" s="6" t="s">
        <v>478</v>
      </c>
      <c r="MP1" s="6" t="s">
        <v>479</v>
      </c>
      <c r="MQ1" s="6" t="s">
        <v>480</v>
      </c>
      <c r="MR1" s="6" t="s">
        <v>481</v>
      </c>
      <c r="MS1" s="6" t="s">
        <v>482</v>
      </c>
      <c r="MT1" s="6" t="s">
        <v>483</v>
      </c>
      <c r="MU1" s="6" t="s">
        <v>484</v>
      </c>
      <c r="MV1" s="6" t="s">
        <v>485</v>
      </c>
      <c r="MW1" s="6" t="s">
        <v>486</v>
      </c>
      <c r="MX1" s="6" t="s">
        <v>487</v>
      </c>
      <c r="MY1" s="6" t="s">
        <v>488</v>
      </c>
      <c r="MZ1" s="6" t="s">
        <v>489</v>
      </c>
      <c r="NA1" s="6" t="s">
        <v>490</v>
      </c>
      <c r="NB1" s="6" t="s">
        <v>491</v>
      </c>
      <c r="NC1" s="6" t="s">
        <v>492</v>
      </c>
      <c r="ND1" s="6" t="s">
        <v>493</v>
      </c>
      <c r="NE1" s="6" t="s">
        <v>494</v>
      </c>
      <c r="NF1" s="6" t="s">
        <v>495</v>
      </c>
      <c r="NG1" s="6" t="s">
        <v>496</v>
      </c>
      <c r="NH1" s="6" t="s">
        <v>497</v>
      </c>
      <c r="NI1" s="6" t="s">
        <v>498</v>
      </c>
      <c r="NJ1" s="6" t="s">
        <v>499</v>
      </c>
      <c r="NK1" s="6" t="s">
        <v>500</v>
      </c>
      <c r="NL1" s="6" t="s">
        <v>501</v>
      </c>
      <c r="NM1" s="6" t="s">
        <v>502</v>
      </c>
      <c r="NN1" s="6" t="s">
        <v>503</v>
      </c>
      <c r="NO1" s="6" t="s">
        <v>504</v>
      </c>
      <c r="NP1" s="6" t="s">
        <v>505</v>
      </c>
      <c r="NQ1" s="6" t="s">
        <v>506</v>
      </c>
      <c r="NR1" s="6" t="s">
        <v>507</v>
      </c>
      <c r="NS1" s="6" t="s">
        <v>508</v>
      </c>
      <c r="NT1" s="6" t="s">
        <v>509</v>
      </c>
      <c r="NU1" s="6" t="s">
        <v>510</v>
      </c>
      <c r="NV1" s="6" t="s">
        <v>511</v>
      </c>
      <c r="NW1" s="6" t="s">
        <v>512</v>
      </c>
      <c r="NX1" s="6" t="s">
        <v>513</v>
      </c>
      <c r="NY1" s="6" t="s">
        <v>514</v>
      </c>
      <c r="NZ1" s="6" t="s">
        <v>515</v>
      </c>
      <c r="OA1" s="6" t="s">
        <v>516</v>
      </c>
      <c r="OB1" s="6" t="s">
        <v>521</v>
      </c>
      <c r="OC1" s="6" t="s">
        <v>522</v>
      </c>
      <c r="OD1" s="6" t="s">
        <v>598</v>
      </c>
      <c r="OE1" s="6" t="s">
        <v>523</v>
      </c>
      <c r="OF1" s="6" t="s">
        <v>524</v>
      </c>
      <c r="OG1" s="6" t="s">
        <v>599</v>
      </c>
      <c r="OH1" s="6" t="s">
        <v>525</v>
      </c>
      <c r="OI1" s="6" t="s">
        <v>526</v>
      </c>
      <c r="OJ1" s="6" t="s">
        <v>600</v>
      </c>
      <c r="OK1" s="6" t="s">
        <v>527</v>
      </c>
      <c r="OL1" s="6" t="s">
        <v>528</v>
      </c>
      <c r="OM1" s="6" t="s">
        <v>601</v>
      </c>
      <c r="ON1" s="6" t="s">
        <v>529</v>
      </c>
      <c r="OO1" s="6" t="s">
        <v>530</v>
      </c>
      <c r="OP1" s="6" t="s">
        <v>602</v>
      </c>
      <c r="OQ1" s="6" t="s">
        <v>531</v>
      </c>
      <c r="OR1" s="6" t="s">
        <v>532</v>
      </c>
      <c r="OS1" s="6" t="s">
        <v>603</v>
      </c>
      <c r="OT1" s="6" t="s">
        <v>533</v>
      </c>
      <c r="OU1" s="6" t="s">
        <v>534</v>
      </c>
      <c r="OV1" s="6" t="s">
        <v>604</v>
      </c>
      <c r="OW1" s="6" t="s">
        <v>535</v>
      </c>
      <c r="OX1" s="6" t="s">
        <v>536</v>
      </c>
      <c r="OY1" s="6" t="s">
        <v>605</v>
      </c>
      <c r="OZ1" s="6" t="s">
        <v>537</v>
      </c>
      <c r="PA1" s="6" t="s">
        <v>538</v>
      </c>
      <c r="PB1" s="6" t="s">
        <v>606</v>
      </c>
      <c r="PC1" s="6" t="s">
        <v>539</v>
      </c>
      <c r="PD1" s="6" t="s">
        <v>540</v>
      </c>
      <c r="PE1" s="6" t="s">
        <v>607</v>
      </c>
      <c r="PF1" s="6" t="s">
        <v>541</v>
      </c>
      <c r="PG1" s="6" t="s">
        <v>542</v>
      </c>
      <c r="PH1" s="6" t="s">
        <v>608</v>
      </c>
      <c r="PI1" s="6" t="s">
        <v>543</v>
      </c>
      <c r="PJ1" s="6" t="s">
        <v>544</v>
      </c>
      <c r="PK1" s="6" t="s">
        <v>609</v>
      </c>
      <c r="PL1" s="6" t="s">
        <v>545</v>
      </c>
      <c r="PM1" s="6" t="s">
        <v>546</v>
      </c>
      <c r="PN1" s="6" t="s">
        <v>610</v>
      </c>
      <c r="PO1" s="6" t="s">
        <v>547</v>
      </c>
      <c r="PP1" s="6" t="s">
        <v>548</v>
      </c>
      <c r="PQ1" s="6" t="s">
        <v>611</v>
      </c>
      <c r="PR1" s="6" t="s">
        <v>549</v>
      </c>
      <c r="PS1" s="6" t="s">
        <v>550</v>
      </c>
      <c r="PT1" s="6" t="s">
        <v>612</v>
      </c>
      <c r="PU1" s="6" t="s">
        <v>551</v>
      </c>
      <c r="PV1" s="6" t="s">
        <v>552</v>
      </c>
      <c r="PW1" s="6" t="s">
        <v>613</v>
      </c>
      <c r="PX1" s="6" t="s">
        <v>553</v>
      </c>
      <c r="PY1" s="6" t="s">
        <v>554</v>
      </c>
      <c r="PZ1" s="6" t="s">
        <v>614</v>
      </c>
      <c r="QA1" s="6" t="s">
        <v>555</v>
      </c>
      <c r="QB1" s="6" t="s">
        <v>556</v>
      </c>
      <c r="QC1" s="6" t="s">
        <v>615</v>
      </c>
      <c r="QD1" s="6" t="s">
        <v>557</v>
      </c>
      <c r="QE1" s="6" t="s">
        <v>558</v>
      </c>
      <c r="QF1" s="6" t="s">
        <v>616</v>
      </c>
      <c r="QG1" s="6" t="s">
        <v>559</v>
      </c>
      <c r="QH1" s="6" t="s">
        <v>560</v>
      </c>
      <c r="QI1" s="6" t="s">
        <v>617</v>
      </c>
      <c r="QJ1" s="6" t="s">
        <v>561</v>
      </c>
      <c r="QK1" s="6" t="s">
        <v>562</v>
      </c>
      <c r="QL1" s="6" t="s">
        <v>618</v>
      </c>
      <c r="QM1" s="6" t="s">
        <v>563</v>
      </c>
      <c r="QN1" s="6" t="s">
        <v>564</v>
      </c>
      <c r="QO1" s="6" t="s">
        <v>619</v>
      </c>
      <c r="QP1" s="6" t="s">
        <v>565</v>
      </c>
      <c r="QQ1" s="6" t="s">
        <v>566</v>
      </c>
      <c r="QR1" s="6" t="s">
        <v>620</v>
      </c>
      <c r="QS1" s="6" t="s">
        <v>567</v>
      </c>
      <c r="QT1" s="6" t="s">
        <v>568</v>
      </c>
      <c r="QU1" s="6" t="s">
        <v>621</v>
      </c>
      <c r="QV1" s="6" t="s">
        <v>569</v>
      </c>
      <c r="QW1" s="6" t="s">
        <v>570</v>
      </c>
      <c r="QX1" s="6" t="s">
        <v>622</v>
      </c>
      <c r="QY1" s="6" t="s">
        <v>571</v>
      </c>
      <c r="QZ1" s="6" t="s">
        <v>572</v>
      </c>
      <c r="RA1" s="6" t="s">
        <v>623</v>
      </c>
      <c r="RB1" s="6" t="s">
        <v>573</v>
      </c>
      <c r="RC1" s="6" t="s">
        <v>574</v>
      </c>
      <c r="RD1" s="6" t="s">
        <v>624</v>
      </c>
      <c r="RE1" s="6" t="s">
        <v>575</v>
      </c>
      <c r="RF1" s="6" t="s">
        <v>576</v>
      </c>
      <c r="RG1" s="6" t="s">
        <v>625</v>
      </c>
      <c r="RH1" s="6" t="s">
        <v>577</v>
      </c>
      <c r="RI1" s="6" t="s">
        <v>578</v>
      </c>
      <c r="RJ1" s="6" t="s">
        <v>626</v>
      </c>
      <c r="RK1" s="6" t="s">
        <v>579</v>
      </c>
      <c r="RL1" s="6" t="s">
        <v>580</v>
      </c>
      <c r="RM1" s="6" t="s">
        <v>627</v>
      </c>
      <c r="RN1" s="6" t="s">
        <v>581</v>
      </c>
      <c r="RO1" s="6" t="s">
        <v>582</v>
      </c>
      <c r="RP1" s="6" t="s">
        <v>628</v>
      </c>
      <c r="RQ1" s="6" t="s">
        <v>583</v>
      </c>
      <c r="RR1" s="6" t="s">
        <v>584</v>
      </c>
      <c r="RS1" s="6" t="s">
        <v>629</v>
      </c>
      <c r="RT1" s="6" t="s">
        <v>585</v>
      </c>
      <c r="RU1" s="6" t="s">
        <v>586</v>
      </c>
      <c r="RV1" s="6" t="s">
        <v>630</v>
      </c>
      <c r="RW1" s="6" t="s">
        <v>587</v>
      </c>
      <c r="RX1" s="6" t="s">
        <v>588</v>
      </c>
      <c r="RY1" s="6" t="s">
        <v>631</v>
      </c>
      <c r="RZ1" s="6" t="s">
        <v>589</v>
      </c>
      <c r="SA1" s="6" t="s">
        <v>590</v>
      </c>
      <c r="SB1" s="6" t="s">
        <v>632</v>
      </c>
      <c r="SC1" s="6" t="s">
        <v>591</v>
      </c>
      <c r="SD1" s="6" t="s">
        <v>592</v>
      </c>
      <c r="SE1" s="6" t="s">
        <v>633</v>
      </c>
      <c r="SF1" s="6" t="s">
        <v>593</v>
      </c>
      <c r="SG1" s="6" t="s">
        <v>594</v>
      </c>
      <c r="SH1" s="6" t="s">
        <v>634</v>
      </c>
      <c r="SI1" s="6" t="s">
        <v>595</v>
      </c>
      <c r="SJ1" s="6" t="s">
        <v>596</v>
      </c>
      <c r="SK1" s="6" t="s">
        <v>635</v>
      </c>
      <c r="SL1" s="6" t="s">
        <v>597</v>
      </c>
      <c r="SM1" s="6" t="s">
        <v>636</v>
      </c>
      <c r="SN1" s="6" t="s">
        <v>637</v>
      </c>
      <c r="SO1" s="6" t="s">
        <v>638</v>
      </c>
      <c r="SP1" s="6" t="s">
        <v>639</v>
      </c>
      <c r="SQ1" s="6" t="s">
        <v>640</v>
      </c>
      <c r="SR1" s="6" t="s">
        <v>641</v>
      </c>
      <c r="SS1" s="6" t="s">
        <v>642</v>
      </c>
      <c r="ST1" s="6" t="s">
        <v>643</v>
      </c>
      <c r="SU1" s="6" t="s">
        <v>644</v>
      </c>
      <c r="SV1" s="6" t="s">
        <v>645</v>
      </c>
      <c r="SW1" s="6" t="s">
        <v>646</v>
      </c>
      <c r="SX1" s="6" t="s">
        <v>647</v>
      </c>
      <c r="SY1" s="6" t="s">
        <v>648</v>
      </c>
      <c r="SZ1" s="6" t="s">
        <v>649</v>
      </c>
      <c r="TA1" s="6" t="s">
        <v>650</v>
      </c>
      <c r="TB1" s="6" t="s">
        <v>651</v>
      </c>
      <c r="TC1" s="6" t="s">
        <v>652</v>
      </c>
      <c r="TD1" s="6" t="s">
        <v>653</v>
      </c>
      <c r="TE1" s="6" t="s">
        <v>654</v>
      </c>
      <c r="TF1" s="6" t="s">
        <v>655</v>
      </c>
      <c r="TG1" s="6" t="s">
        <v>656</v>
      </c>
      <c r="TH1" s="6" t="s">
        <v>657</v>
      </c>
      <c r="TI1" s="6" t="s">
        <v>658</v>
      </c>
      <c r="TJ1" s="6" t="s">
        <v>659</v>
      </c>
      <c r="TK1" s="6" t="s">
        <v>660</v>
      </c>
      <c r="TL1" s="6" t="s">
        <v>661</v>
      </c>
      <c r="TM1" s="6" t="s">
        <v>662</v>
      </c>
      <c r="TN1" s="6" t="s">
        <v>663</v>
      </c>
      <c r="TO1" s="6" t="s">
        <v>664</v>
      </c>
      <c r="TP1" s="6" t="s">
        <v>665</v>
      </c>
      <c r="TQ1" s="6" t="s">
        <v>666</v>
      </c>
      <c r="TR1" s="6" t="s">
        <v>667</v>
      </c>
      <c r="TS1" s="6" t="s">
        <v>668</v>
      </c>
      <c r="TT1" s="6" t="s">
        <v>669</v>
      </c>
      <c r="TU1" s="6" t="s">
        <v>670</v>
      </c>
      <c r="TV1" s="6" t="s">
        <v>671</v>
      </c>
      <c r="TW1" s="6" t="s">
        <v>672</v>
      </c>
      <c r="TX1" s="6" t="s">
        <v>673</v>
      </c>
      <c r="TY1" s="6" t="s">
        <v>674</v>
      </c>
      <c r="TZ1" s="6" t="s">
        <v>675</v>
      </c>
      <c r="UA1" s="6" t="s">
        <v>676</v>
      </c>
      <c r="UB1" s="6" t="s">
        <v>677</v>
      </c>
      <c r="UC1" s="6" t="s">
        <v>678</v>
      </c>
      <c r="UD1" s="6" t="s">
        <v>679</v>
      </c>
      <c r="UE1" s="6" t="s">
        <v>680</v>
      </c>
      <c r="UF1" s="6" t="s">
        <v>681</v>
      </c>
      <c r="UG1" s="6" t="s">
        <v>682</v>
      </c>
      <c r="UH1" s="6" t="s">
        <v>683</v>
      </c>
      <c r="UI1" s="6" t="s">
        <v>684</v>
      </c>
      <c r="UJ1" s="6" t="s">
        <v>685</v>
      </c>
      <c r="UK1" s="6" t="s">
        <v>686</v>
      </c>
      <c r="UL1" s="6" t="s">
        <v>687</v>
      </c>
      <c r="UM1" s="6" t="s">
        <v>688</v>
      </c>
      <c r="UN1" s="6" t="s">
        <v>689</v>
      </c>
      <c r="UO1" s="6" t="s">
        <v>690</v>
      </c>
      <c r="UP1" s="6" t="s">
        <v>691</v>
      </c>
      <c r="UQ1" s="6" t="s">
        <v>692</v>
      </c>
      <c r="UR1" s="6" t="s">
        <v>693</v>
      </c>
      <c r="US1" s="6" t="s">
        <v>694</v>
      </c>
      <c r="UT1" s="6" t="s">
        <v>695</v>
      </c>
      <c r="UU1" s="6" t="s">
        <v>696</v>
      </c>
      <c r="UV1" s="6" t="s">
        <v>697</v>
      </c>
      <c r="UW1" s="6" t="s">
        <v>698</v>
      </c>
      <c r="UX1" s="6" t="s">
        <v>699</v>
      </c>
      <c r="UY1" s="6" t="s">
        <v>700</v>
      </c>
      <c r="UZ1" s="6" t="s">
        <v>701</v>
      </c>
      <c r="VA1" s="6" t="s">
        <v>702</v>
      </c>
      <c r="VB1" s="6" t="s">
        <v>703</v>
      </c>
      <c r="VC1" s="6" t="s">
        <v>704</v>
      </c>
      <c r="VD1" s="6" t="s">
        <v>705</v>
      </c>
      <c r="VE1" s="6" t="s">
        <v>706</v>
      </c>
      <c r="VF1" s="6" t="s">
        <v>707</v>
      </c>
      <c r="VG1" s="6" t="s">
        <v>708</v>
      </c>
      <c r="VH1" s="6" t="s">
        <v>709</v>
      </c>
      <c r="VI1" s="6" t="s">
        <v>710</v>
      </c>
      <c r="VJ1" s="6" t="s">
        <v>711</v>
      </c>
      <c r="VK1" s="6" t="s">
        <v>712</v>
      </c>
      <c r="VL1" s="6" t="s">
        <v>713</v>
      </c>
      <c r="VM1" s="6" t="s">
        <v>714</v>
      </c>
      <c r="VN1" s="6" t="s">
        <v>715</v>
      </c>
      <c r="VO1" s="6" t="s">
        <v>716</v>
      </c>
      <c r="VP1" s="6" t="s">
        <v>717</v>
      </c>
      <c r="VQ1" s="6" t="s">
        <v>718</v>
      </c>
      <c r="VR1" s="6" t="s">
        <v>719</v>
      </c>
      <c r="VS1" s="6" t="s">
        <v>720</v>
      </c>
      <c r="VT1" s="6" t="s">
        <v>721</v>
      </c>
      <c r="VU1" s="6" t="s">
        <v>722</v>
      </c>
      <c r="VV1" s="6" t="s">
        <v>723</v>
      </c>
      <c r="VW1" s="6" t="s">
        <v>724</v>
      </c>
      <c r="VX1" s="6" t="s">
        <v>725</v>
      </c>
      <c r="VY1" s="6" t="s">
        <v>726</v>
      </c>
      <c r="VZ1" s="6" t="s">
        <v>727</v>
      </c>
      <c r="WA1" s="6" t="s">
        <v>728</v>
      </c>
      <c r="WB1" s="6" t="s">
        <v>729</v>
      </c>
      <c r="WC1" s="6" t="s">
        <v>730</v>
      </c>
      <c r="WD1" s="6" t="s">
        <v>731</v>
      </c>
      <c r="WE1" s="6" t="s">
        <v>732</v>
      </c>
      <c r="WF1" s="6" t="s">
        <v>733</v>
      </c>
      <c r="WG1" s="6" t="s">
        <v>734</v>
      </c>
      <c r="WH1" s="6" t="s">
        <v>735</v>
      </c>
      <c r="WI1" s="6" t="s">
        <v>736</v>
      </c>
      <c r="WJ1" s="6" t="s">
        <v>737</v>
      </c>
      <c r="WK1" s="6" t="s">
        <v>738</v>
      </c>
      <c r="WL1" s="6" t="s">
        <v>739</v>
      </c>
      <c r="WM1" s="6" t="s">
        <v>740</v>
      </c>
      <c r="WN1" s="6" t="s">
        <v>741</v>
      </c>
      <c r="WO1" s="6" t="s">
        <v>742</v>
      </c>
      <c r="WP1" s="6" t="s">
        <v>743</v>
      </c>
      <c r="WQ1" s="6" t="s">
        <v>744</v>
      </c>
      <c r="WR1" s="6" t="s">
        <v>745</v>
      </c>
      <c r="WS1" s="6" t="s">
        <v>746</v>
      </c>
      <c r="WT1" s="6" t="s">
        <v>747</v>
      </c>
      <c r="WU1" s="6" t="s">
        <v>748</v>
      </c>
      <c r="WV1" s="6" t="s">
        <v>749</v>
      </c>
      <c r="WW1" s="6" t="s">
        <v>750</v>
      </c>
      <c r="WX1" s="6" t="s">
        <v>751</v>
      </c>
      <c r="WY1" s="6" t="s">
        <v>752</v>
      </c>
      <c r="WZ1" s="6" t="s">
        <v>753</v>
      </c>
      <c r="XA1" s="6" t="s">
        <v>754</v>
      </c>
    </row>
    <row r="2" spans="1:625" s="13" customFormat="1" ht="63">
      <c r="A2" s="29">
        <v>15081</v>
      </c>
      <c r="B2" s="44" t="s">
        <v>930</v>
      </c>
      <c r="C2" s="24" t="s">
        <v>931</v>
      </c>
      <c r="D2" s="5">
        <v>1</v>
      </c>
      <c r="E2" s="5">
        <v>1</v>
      </c>
      <c r="F2" s="5" t="s">
        <v>125</v>
      </c>
      <c r="G2" s="5">
        <v>1</v>
      </c>
      <c r="H2" s="5" t="s">
        <v>761</v>
      </c>
      <c r="I2" s="5">
        <v>15082</v>
      </c>
      <c r="J2" s="5">
        <v>5</v>
      </c>
      <c r="K2" s="5" t="s">
        <v>761</v>
      </c>
      <c r="L2" s="5">
        <v>15083</v>
      </c>
      <c r="M2" s="5">
        <v>3.6</v>
      </c>
      <c r="N2" s="5" t="s">
        <v>761</v>
      </c>
      <c r="O2" s="5">
        <v>15084</v>
      </c>
      <c r="P2" s="5">
        <v>1.4</v>
      </c>
      <c r="Q2" s="5" t="s">
        <v>761</v>
      </c>
      <c r="R2" s="5">
        <v>15085</v>
      </c>
      <c r="S2" s="5">
        <v>20</v>
      </c>
      <c r="T2" s="5" t="s">
        <v>761</v>
      </c>
      <c r="U2" s="5">
        <v>15088</v>
      </c>
      <c r="V2" s="5">
        <v>15</v>
      </c>
      <c r="W2" s="5" t="s">
        <v>761</v>
      </c>
      <c r="X2" s="5">
        <v>15089</v>
      </c>
      <c r="Y2" s="5">
        <v>10.8</v>
      </c>
      <c r="Z2" s="5" t="s">
        <v>761</v>
      </c>
      <c r="AA2" s="5">
        <v>15091</v>
      </c>
      <c r="AB2" s="5">
        <v>5</v>
      </c>
      <c r="AC2" s="5" t="s">
        <v>761</v>
      </c>
      <c r="AD2" s="5">
        <v>15092</v>
      </c>
      <c r="AE2" s="5">
        <v>3.6</v>
      </c>
      <c r="AF2" s="5" t="s">
        <v>761</v>
      </c>
      <c r="AG2" s="5">
        <v>15093</v>
      </c>
      <c r="AH2" s="5">
        <v>1.4</v>
      </c>
      <c r="AI2" s="5" t="s">
        <v>761</v>
      </c>
      <c r="AJ2" s="5">
        <v>15094</v>
      </c>
      <c r="AK2" s="5">
        <v>5</v>
      </c>
      <c r="AL2" s="5" t="s">
        <v>761</v>
      </c>
      <c r="AM2" s="5">
        <v>15095</v>
      </c>
      <c r="AN2" s="5">
        <v>3.6</v>
      </c>
      <c r="AO2" s="5"/>
      <c r="AP2" s="5"/>
      <c r="AQ2" s="5"/>
    </row>
    <row r="3" spans="1:625" s="6" customFormat="1" ht="15.75">
      <c r="A3" s="6" t="s">
        <v>131</v>
      </c>
      <c r="B3" s="6" t="s">
        <v>83</v>
      </c>
      <c r="C3" s="6" t="s">
        <v>77</v>
      </c>
      <c r="D3" s="6" t="s">
        <v>105</v>
      </c>
      <c r="E3" s="14" t="s">
        <v>108</v>
      </c>
      <c r="F3" s="23" t="s">
        <v>132</v>
      </c>
      <c r="G3" s="23" t="s">
        <v>110</v>
      </c>
      <c r="H3" s="6" t="s">
        <v>133</v>
      </c>
      <c r="I3" s="6" t="s">
        <v>134</v>
      </c>
      <c r="J3" s="6" t="s">
        <v>135</v>
      </c>
      <c r="K3" s="6" t="s">
        <v>136</v>
      </c>
      <c r="L3" s="6" t="s">
        <v>137</v>
      </c>
      <c r="M3" s="6" t="s">
        <v>138</v>
      </c>
      <c r="N3" s="6" t="s">
        <v>139</v>
      </c>
      <c r="O3" s="6" t="s">
        <v>140</v>
      </c>
      <c r="P3" s="6" t="s">
        <v>141</v>
      </c>
      <c r="Q3" s="6" t="s">
        <v>142</v>
      </c>
      <c r="R3" s="6" t="s">
        <v>143</v>
      </c>
      <c r="S3" s="6" t="s">
        <v>144</v>
      </c>
      <c r="T3" s="6" t="s">
        <v>145</v>
      </c>
      <c r="U3" s="6" t="s">
        <v>146</v>
      </c>
      <c r="V3" s="6" t="s">
        <v>147</v>
      </c>
      <c r="W3" s="6" t="s">
        <v>148</v>
      </c>
      <c r="X3" s="6" t="s">
        <v>149</v>
      </c>
      <c r="Y3" s="6" t="s">
        <v>150</v>
      </c>
      <c r="Z3" s="6" t="s">
        <v>151</v>
      </c>
      <c r="AA3" s="6" t="s">
        <v>152</v>
      </c>
      <c r="AB3" s="6" t="s">
        <v>153</v>
      </c>
      <c r="AC3" s="6" t="s">
        <v>154</v>
      </c>
      <c r="AD3" s="6" t="s">
        <v>155</v>
      </c>
      <c r="AE3" s="6" t="s">
        <v>156</v>
      </c>
      <c r="AF3" s="6" t="s">
        <v>157</v>
      </c>
      <c r="AG3" s="6" t="s">
        <v>158</v>
      </c>
      <c r="AH3" s="6" t="s">
        <v>159</v>
      </c>
      <c r="AI3" s="6" t="s">
        <v>160</v>
      </c>
      <c r="AJ3" s="6" t="s">
        <v>161</v>
      </c>
      <c r="AK3" s="6" t="s">
        <v>162</v>
      </c>
      <c r="AL3" s="6" t="s">
        <v>163</v>
      </c>
      <c r="AM3" s="6" t="s">
        <v>164</v>
      </c>
      <c r="AN3" s="6" t="s">
        <v>165</v>
      </c>
      <c r="AO3" s="6" t="s">
        <v>166</v>
      </c>
      <c r="AP3" s="6" t="s">
        <v>167</v>
      </c>
      <c r="AQ3" s="6" t="s">
        <v>168</v>
      </c>
      <c r="AR3" s="6" t="s">
        <v>169</v>
      </c>
      <c r="AS3" s="6" t="s">
        <v>170</v>
      </c>
      <c r="AT3" s="6" t="s">
        <v>171</v>
      </c>
      <c r="AU3" s="6" t="s">
        <v>172</v>
      </c>
      <c r="AV3" s="6" t="s">
        <v>173</v>
      </c>
      <c r="AW3" s="6" t="s">
        <v>174</v>
      </c>
      <c r="AX3" s="6" t="s">
        <v>175</v>
      </c>
      <c r="AY3" s="6" t="s">
        <v>176</v>
      </c>
      <c r="AZ3" s="6" t="s">
        <v>177</v>
      </c>
      <c r="BA3" s="6" t="s">
        <v>178</v>
      </c>
      <c r="BB3" s="6" t="s">
        <v>179</v>
      </c>
      <c r="BC3" s="6" t="s">
        <v>180</v>
      </c>
      <c r="BD3" s="6" t="s">
        <v>181</v>
      </c>
      <c r="BE3" s="6" t="s">
        <v>182</v>
      </c>
      <c r="BF3" s="6" t="s">
        <v>183</v>
      </c>
      <c r="BG3" s="6" t="s">
        <v>184</v>
      </c>
      <c r="BH3" s="6" t="s">
        <v>185</v>
      </c>
      <c r="BI3" s="6" t="s">
        <v>186</v>
      </c>
      <c r="BJ3" s="6" t="s">
        <v>187</v>
      </c>
      <c r="BK3" s="6" t="s">
        <v>188</v>
      </c>
      <c r="BL3" s="6" t="s">
        <v>189</v>
      </c>
      <c r="BM3" s="6" t="s">
        <v>190</v>
      </c>
      <c r="BN3" s="6" t="s">
        <v>191</v>
      </c>
      <c r="BO3" s="6" t="s">
        <v>192</v>
      </c>
      <c r="BP3" s="6" t="s">
        <v>193</v>
      </c>
      <c r="BQ3" s="6" t="s">
        <v>194</v>
      </c>
      <c r="BR3" s="6" t="s">
        <v>195</v>
      </c>
      <c r="BS3" s="6" t="s">
        <v>196</v>
      </c>
      <c r="BT3" s="6" t="s">
        <v>197</v>
      </c>
      <c r="BU3" s="6" t="s">
        <v>198</v>
      </c>
      <c r="BV3" s="6" t="s">
        <v>199</v>
      </c>
      <c r="BW3" s="6" t="s">
        <v>200</v>
      </c>
      <c r="BX3" s="6" t="s">
        <v>201</v>
      </c>
      <c r="BY3" s="6" t="s">
        <v>202</v>
      </c>
      <c r="BZ3" s="6" t="s">
        <v>203</v>
      </c>
      <c r="CA3" s="6" t="s">
        <v>204</v>
      </c>
      <c r="CB3" s="6" t="s">
        <v>205</v>
      </c>
      <c r="CC3" s="6" t="s">
        <v>206</v>
      </c>
      <c r="CD3" s="6" t="s">
        <v>207</v>
      </c>
      <c r="CE3" s="6" t="s">
        <v>208</v>
      </c>
      <c r="CF3" s="6" t="s">
        <v>209</v>
      </c>
      <c r="CG3" s="6" t="s">
        <v>210</v>
      </c>
      <c r="CH3" s="6" t="s">
        <v>211</v>
      </c>
      <c r="CI3" s="6" t="s">
        <v>212</v>
      </c>
      <c r="CJ3" s="6" t="s">
        <v>213</v>
      </c>
      <c r="CK3" s="6" t="s">
        <v>214</v>
      </c>
      <c r="CL3" s="6" t="s">
        <v>215</v>
      </c>
      <c r="CM3" s="6" t="s">
        <v>216</v>
      </c>
      <c r="CN3" s="6" t="s">
        <v>217</v>
      </c>
      <c r="CO3" s="6" t="s">
        <v>218</v>
      </c>
      <c r="CP3" s="6" t="s">
        <v>219</v>
      </c>
      <c r="CQ3" s="6" t="s">
        <v>220</v>
      </c>
      <c r="CR3" s="6" t="s">
        <v>221</v>
      </c>
      <c r="CS3" s="6" t="s">
        <v>222</v>
      </c>
      <c r="CT3" s="6" t="s">
        <v>223</v>
      </c>
      <c r="CU3" s="6" t="s">
        <v>224</v>
      </c>
      <c r="CV3" s="6" t="s">
        <v>225</v>
      </c>
      <c r="CW3" s="6" t="s">
        <v>226</v>
      </c>
      <c r="CX3" s="6" t="s">
        <v>227</v>
      </c>
      <c r="CY3" s="6" t="s">
        <v>228</v>
      </c>
      <c r="CZ3" s="6" t="s">
        <v>229</v>
      </c>
      <c r="DA3" s="6" t="s">
        <v>230</v>
      </c>
      <c r="DB3" s="6" t="s">
        <v>231</v>
      </c>
      <c r="DC3" s="6" t="s">
        <v>232</v>
      </c>
      <c r="DD3" s="6" t="s">
        <v>233</v>
      </c>
      <c r="DE3" s="6" t="s">
        <v>234</v>
      </c>
      <c r="DF3" s="6" t="s">
        <v>235</v>
      </c>
      <c r="DG3" s="6" t="s">
        <v>236</v>
      </c>
      <c r="DH3" s="6" t="s">
        <v>237</v>
      </c>
      <c r="DI3" s="6" t="s">
        <v>238</v>
      </c>
      <c r="DJ3" s="6" t="s">
        <v>239</v>
      </c>
      <c r="DK3" s="6" t="s">
        <v>240</v>
      </c>
      <c r="DL3" s="6" t="s">
        <v>241</v>
      </c>
      <c r="DM3" s="6" t="s">
        <v>242</v>
      </c>
      <c r="DN3" s="6" t="s">
        <v>243</v>
      </c>
      <c r="DO3" s="6" t="s">
        <v>244</v>
      </c>
      <c r="DP3" s="6" t="s">
        <v>245</v>
      </c>
      <c r="DQ3" s="6" t="s">
        <v>246</v>
      </c>
      <c r="DR3" s="6" t="s">
        <v>247</v>
      </c>
      <c r="DS3" s="6" t="s">
        <v>248</v>
      </c>
      <c r="DT3" s="6" t="s">
        <v>249</v>
      </c>
      <c r="DU3" s="6" t="s">
        <v>250</v>
      </c>
      <c r="DV3" s="6" t="s">
        <v>251</v>
      </c>
      <c r="DW3" s="6" t="s">
        <v>252</v>
      </c>
      <c r="DX3" s="6" t="s">
        <v>253</v>
      </c>
      <c r="DY3" s="6" t="s">
        <v>254</v>
      </c>
      <c r="DZ3" s="6" t="s">
        <v>255</v>
      </c>
      <c r="EA3" s="6" t="s">
        <v>256</v>
      </c>
      <c r="EB3" s="6" t="s">
        <v>257</v>
      </c>
      <c r="EC3" s="6" t="s">
        <v>258</v>
      </c>
      <c r="ED3" s="6" t="s">
        <v>259</v>
      </c>
      <c r="EE3" s="6" t="s">
        <v>260</v>
      </c>
      <c r="EF3" s="6" t="s">
        <v>261</v>
      </c>
      <c r="EG3" s="6" t="s">
        <v>262</v>
      </c>
      <c r="EH3" s="6" t="s">
        <v>263</v>
      </c>
      <c r="EI3" s="6" t="s">
        <v>264</v>
      </c>
      <c r="EJ3" s="6" t="s">
        <v>265</v>
      </c>
      <c r="EK3" s="6" t="s">
        <v>266</v>
      </c>
      <c r="EL3" s="6" t="s">
        <v>267</v>
      </c>
      <c r="EM3" s="6" t="s">
        <v>268</v>
      </c>
      <c r="EN3" s="6" t="s">
        <v>269</v>
      </c>
      <c r="EO3" s="6" t="s">
        <v>270</v>
      </c>
      <c r="EP3" s="6" t="s">
        <v>271</v>
      </c>
      <c r="EQ3" s="6" t="s">
        <v>272</v>
      </c>
      <c r="ER3" s="6" t="s">
        <v>273</v>
      </c>
      <c r="ES3" s="6" t="s">
        <v>274</v>
      </c>
      <c r="ET3" s="6" t="s">
        <v>275</v>
      </c>
      <c r="EU3" s="6" t="s">
        <v>276</v>
      </c>
      <c r="EV3" s="6" t="s">
        <v>277</v>
      </c>
      <c r="EW3" s="6" t="s">
        <v>278</v>
      </c>
      <c r="EX3" s="6" t="s">
        <v>279</v>
      </c>
      <c r="EY3" s="6" t="s">
        <v>280</v>
      </c>
      <c r="EZ3" s="6" t="s">
        <v>281</v>
      </c>
      <c r="FA3" s="6" t="s">
        <v>282</v>
      </c>
      <c r="FB3" s="6" t="s">
        <v>283</v>
      </c>
      <c r="FC3" s="6" t="s">
        <v>284</v>
      </c>
      <c r="FD3" s="6" t="s">
        <v>285</v>
      </c>
      <c r="FE3" s="6" t="s">
        <v>286</v>
      </c>
      <c r="FF3" s="6" t="s">
        <v>287</v>
      </c>
      <c r="FG3" s="6" t="s">
        <v>288</v>
      </c>
      <c r="FH3" s="6" t="s">
        <v>289</v>
      </c>
      <c r="FI3" s="6" t="s">
        <v>290</v>
      </c>
      <c r="FJ3" s="6" t="s">
        <v>291</v>
      </c>
      <c r="FK3" s="6" t="s">
        <v>292</v>
      </c>
      <c r="FL3" s="6" t="s">
        <v>293</v>
      </c>
      <c r="FM3" s="6" t="s">
        <v>294</v>
      </c>
      <c r="FN3" s="6" t="s">
        <v>295</v>
      </c>
      <c r="FO3" s="6" t="s">
        <v>296</v>
      </c>
      <c r="FP3" s="6" t="s">
        <v>297</v>
      </c>
      <c r="FQ3" s="6" t="s">
        <v>298</v>
      </c>
      <c r="FR3" s="6" t="s">
        <v>299</v>
      </c>
      <c r="FS3" s="6" t="s">
        <v>300</v>
      </c>
      <c r="FT3" s="6" t="s">
        <v>301</v>
      </c>
      <c r="FU3" s="6" t="s">
        <v>302</v>
      </c>
      <c r="FV3" s="6" t="s">
        <v>303</v>
      </c>
      <c r="FW3" s="6" t="s">
        <v>304</v>
      </c>
      <c r="FX3" s="6" t="s">
        <v>305</v>
      </c>
      <c r="FY3" s="6" t="s">
        <v>306</v>
      </c>
      <c r="FZ3" s="6" t="s">
        <v>307</v>
      </c>
      <c r="GA3" s="6" t="s">
        <v>308</v>
      </c>
      <c r="GB3" s="6" t="s">
        <v>309</v>
      </c>
      <c r="GC3" s="6" t="s">
        <v>310</v>
      </c>
      <c r="GD3" s="6" t="s">
        <v>311</v>
      </c>
      <c r="GE3" s="6" t="s">
        <v>312</v>
      </c>
      <c r="GF3" s="6" t="s">
        <v>313</v>
      </c>
      <c r="GG3" s="6" t="s">
        <v>314</v>
      </c>
      <c r="GH3" s="6" t="s">
        <v>315</v>
      </c>
      <c r="GI3" s="6" t="s">
        <v>316</v>
      </c>
      <c r="GJ3" s="6" t="s">
        <v>317</v>
      </c>
      <c r="GK3" s="6" t="s">
        <v>318</v>
      </c>
      <c r="GL3" s="6" t="s">
        <v>319</v>
      </c>
      <c r="GM3" s="6" t="s">
        <v>320</v>
      </c>
      <c r="GN3" s="6" t="s">
        <v>321</v>
      </c>
      <c r="GO3" s="6" t="s">
        <v>322</v>
      </c>
      <c r="GP3" s="6" t="s">
        <v>323</v>
      </c>
      <c r="GQ3" s="6" t="s">
        <v>324</v>
      </c>
      <c r="GR3" s="6" t="s">
        <v>325</v>
      </c>
      <c r="GS3" s="6" t="s">
        <v>326</v>
      </c>
      <c r="GT3" s="6" t="s">
        <v>327</v>
      </c>
      <c r="GU3" s="6" t="s">
        <v>328</v>
      </c>
      <c r="GV3" s="6" t="s">
        <v>329</v>
      </c>
      <c r="GW3" s="6" t="s">
        <v>330</v>
      </c>
      <c r="GX3" s="6" t="s">
        <v>331</v>
      </c>
      <c r="GY3" s="6" t="s">
        <v>332</v>
      </c>
      <c r="GZ3" s="6" t="s">
        <v>333</v>
      </c>
      <c r="HA3" s="6" t="s">
        <v>334</v>
      </c>
      <c r="HB3" s="6" t="s">
        <v>335</v>
      </c>
      <c r="HC3" s="6" t="s">
        <v>336</v>
      </c>
      <c r="HD3" s="6" t="s">
        <v>337</v>
      </c>
      <c r="HE3" s="6" t="s">
        <v>338</v>
      </c>
      <c r="HF3" s="6" t="s">
        <v>339</v>
      </c>
      <c r="HG3" s="6" t="s">
        <v>340</v>
      </c>
      <c r="HH3" s="6" t="s">
        <v>341</v>
      </c>
      <c r="HI3" s="6" t="s">
        <v>342</v>
      </c>
      <c r="HJ3" s="6" t="s">
        <v>343</v>
      </c>
      <c r="HK3" s="6" t="s">
        <v>344</v>
      </c>
      <c r="HL3" s="6" t="s">
        <v>345</v>
      </c>
      <c r="HM3" s="6" t="s">
        <v>346</v>
      </c>
      <c r="HN3" s="6" t="s">
        <v>347</v>
      </c>
      <c r="HO3" s="6" t="s">
        <v>348</v>
      </c>
      <c r="HP3" s="6" t="s">
        <v>349</v>
      </c>
      <c r="HQ3" s="6" t="s">
        <v>350</v>
      </c>
      <c r="HR3" s="6" t="s">
        <v>351</v>
      </c>
      <c r="HS3" s="6" t="s">
        <v>352</v>
      </c>
      <c r="HT3" s="6" t="s">
        <v>353</v>
      </c>
      <c r="HU3" s="6" t="s">
        <v>354</v>
      </c>
      <c r="HV3" s="6" t="s">
        <v>355</v>
      </c>
      <c r="HW3" s="6" t="s">
        <v>356</v>
      </c>
      <c r="HX3" s="6" t="s">
        <v>357</v>
      </c>
      <c r="HY3" s="6" t="s">
        <v>358</v>
      </c>
      <c r="HZ3" s="6" t="s">
        <v>359</v>
      </c>
      <c r="IA3" s="6" t="s">
        <v>360</v>
      </c>
      <c r="IB3" s="6" t="s">
        <v>361</v>
      </c>
      <c r="IC3" s="6" t="s">
        <v>362</v>
      </c>
      <c r="ID3" s="6" t="s">
        <v>363</v>
      </c>
      <c r="IE3" s="6" t="s">
        <v>364</v>
      </c>
      <c r="IF3" s="6" t="s">
        <v>365</v>
      </c>
      <c r="IG3" s="6" t="s">
        <v>366</v>
      </c>
      <c r="IH3" s="6" t="s">
        <v>367</v>
      </c>
      <c r="II3" s="6" t="s">
        <v>368</v>
      </c>
      <c r="IJ3" s="6" t="s">
        <v>369</v>
      </c>
      <c r="IK3" s="6" t="s">
        <v>370</v>
      </c>
      <c r="IL3" s="6" t="s">
        <v>371</v>
      </c>
      <c r="IM3" s="6" t="s">
        <v>372</v>
      </c>
      <c r="IN3" s="6" t="s">
        <v>373</v>
      </c>
      <c r="IO3" s="6" t="s">
        <v>374</v>
      </c>
      <c r="IP3" s="6" t="s">
        <v>375</v>
      </c>
      <c r="IQ3" s="6" t="s">
        <v>376</v>
      </c>
      <c r="IR3" s="6" t="s">
        <v>377</v>
      </c>
      <c r="IS3" s="6" t="s">
        <v>378</v>
      </c>
      <c r="IT3" s="6" t="s">
        <v>379</v>
      </c>
      <c r="IU3" s="6" t="s">
        <v>380</v>
      </c>
      <c r="IV3" s="6" t="s">
        <v>381</v>
      </c>
      <c r="IW3" s="6" t="s">
        <v>382</v>
      </c>
      <c r="IX3" s="6" t="s">
        <v>383</v>
      </c>
      <c r="IY3" s="6" t="s">
        <v>384</v>
      </c>
      <c r="IZ3" s="6" t="s">
        <v>385</v>
      </c>
      <c r="JA3" s="6" t="s">
        <v>386</v>
      </c>
      <c r="JB3" s="6" t="s">
        <v>387</v>
      </c>
      <c r="JC3" s="6" t="s">
        <v>388</v>
      </c>
      <c r="JD3" s="6" t="s">
        <v>389</v>
      </c>
      <c r="JE3" s="6" t="s">
        <v>390</v>
      </c>
      <c r="JF3" s="6" t="s">
        <v>391</v>
      </c>
      <c r="JG3" s="6" t="s">
        <v>392</v>
      </c>
      <c r="JH3" s="6" t="s">
        <v>393</v>
      </c>
      <c r="JI3" s="6" t="s">
        <v>394</v>
      </c>
      <c r="JJ3" s="6" t="s">
        <v>395</v>
      </c>
      <c r="JK3" s="6" t="s">
        <v>396</v>
      </c>
      <c r="JL3" s="6" t="s">
        <v>397</v>
      </c>
      <c r="JM3" s="6" t="s">
        <v>398</v>
      </c>
      <c r="JN3" s="6" t="s">
        <v>399</v>
      </c>
      <c r="JO3" s="6" t="s">
        <v>400</v>
      </c>
      <c r="JP3" s="6" t="s">
        <v>401</v>
      </c>
      <c r="JQ3" s="6" t="s">
        <v>402</v>
      </c>
      <c r="JR3" s="6" t="s">
        <v>403</v>
      </c>
      <c r="JS3" s="6" t="s">
        <v>404</v>
      </c>
      <c r="JT3" s="6" t="s">
        <v>405</v>
      </c>
      <c r="JU3" s="6" t="s">
        <v>406</v>
      </c>
      <c r="JV3" s="6" t="s">
        <v>407</v>
      </c>
      <c r="JW3" s="6" t="s">
        <v>408</v>
      </c>
      <c r="JX3" s="6" t="s">
        <v>409</v>
      </c>
      <c r="JY3" s="6" t="s">
        <v>410</v>
      </c>
      <c r="JZ3" s="6" t="s">
        <v>411</v>
      </c>
      <c r="KA3" s="6" t="s">
        <v>412</v>
      </c>
      <c r="KB3" s="6" t="s">
        <v>413</v>
      </c>
      <c r="KC3" s="6" t="s">
        <v>414</v>
      </c>
      <c r="KD3" s="6" t="s">
        <v>415</v>
      </c>
      <c r="KE3" s="6" t="s">
        <v>416</v>
      </c>
      <c r="KF3" s="6" t="s">
        <v>417</v>
      </c>
      <c r="KG3" s="6" t="s">
        <v>418</v>
      </c>
      <c r="KH3" s="6" t="s">
        <v>419</v>
      </c>
      <c r="KI3" s="6" t="s">
        <v>420</v>
      </c>
      <c r="KJ3" s="6" t="s">
        <v>421</v>
      </c>
      <c r="KK3" s="6" t="s">
        <v>422</v>
      </c>
      <c r="KL3" s="6" t="s">
        <v>423</v>
      </c>
      <c r="KM3" s="6" t="s">
        <v>424</v>
      </c>
      <c r="KN3" s="6" t="s">
        <v>425</v>
      </c>
      <c r="KO3" s="6" t="s">
        <v>426</v>
      </c>
      <c r="KP3" s="6" t="s">
        <v>427</v>
      </c>
      <c r="KQ3" s="6" t="s">
        <v>428</v>
      </c>
      <c r="KR3" s="6" t="s">
        <v>429</v>
      </c>
      <c r="KS3" s="6" t="s">
        <v>430</v>
      </c>
      <c r="KT3" s="6" t="s">
        <v>431</v>
      </c>
      <c r="KU3" s="6" t="s">
        <v>432</v>
      </c>
      <c r="KV3" s="6" t="s">
        <v>433</v>
      </c>
      <c r="KW3" s="6" t="s">
        <v>434</v>
      </c>
      <c r="KX3" s="6" t="s">
        <v>435</v>
      </c>
      <c r="KY3" s="6" t="s">
        <v>436</v>
      </c>
      <c r="KZ3" s="6" t="s">
        <v>437</v>
      </c>
      <c r="LA3" s="6" t="s">
        <v>438</v>
      </c>
      <c r="LB3" s="6" t="s">
        <v>439</v>
      </c>
      <c r="LC3" s="6" t="s">
        <v>440</v>
      </c>
      <c r="LD3" s="6" t="s">
        <v>441</v>
      </c>
      <c r="LE3" s="6" t="s">
        <v>442</v>
      </c>
      <c r="LF3" s="6" t="s">
        <v>443</v>
      </c>
      <c r="LG3" s="6" t="s">
        <v>444</v>
      </c>
      <c r="LH3" s="6" t="s">
        <v>445</v>
      </c>
      <c r="LI3" s="6" t="s">
        <v>446</v>
      </c>
      <c r="LJ3" s="6" t="s">
        <v>447</v>
      </c>
      <c r="LK3" s="6" t="s">
        <v>448</v>
      </c>
      <c r="LL3" s="6" t="s">
        <v>449</v>
      </c>
      <c r="LM3" s="6" t="s">
        <v>450</v>
      </c>
      <c r="LN3" s="6" t="s">
        <v>451</v>
      </c>
      <c r="LO3" s="6" t="s">
        <v>452</v>
      </c>
      <c r="LP3" s="6" t="s">
        <v>453</v>
      </c>
      <c r="LQ3" s="6" t="s">
        <v>454</v>
      </c>
      <c r="LR3" s="6" t="s">
        <v>455</v>
      </c>
      <c r="LS3" s="6" t="s">
        <v>456</v>
      </c>
      <c r="LT3" s="6" t="s">
        <v>457</v>
      </c>
      <c r="LU3" s="6" t="s">
        <v>458</v>
      </c>
      <c r="LV3" s="6" t="s">
        <v>459</v>
      </c>
      <c r="LW3" s="6" t="s">
        <v>460</v>
      </c>
      <c r="LX3" s="6" t="s">
        <v>461</v>
      </c>
      <c r="LY3" s="6" t="s">
        <v>462</v>
      </c>
      <c r="LZ3" s="6" t="s">
        <v>463</v>
      </c>
      <c r="MA3" s="6" t="s">
        <v>464</v>
      </c>
      <c r="MB3" s="6" t="s">
        <v>465</v>
      </c>
      <c r="MC3" s="6" t="s">
        <v>466</v>
      </c>
      <c r="MD3" s="6" t="s">
        <v>467</v>
      </c>
      <c r="ME3" s="6" t="s">
        <v>468</v>
      </c>
      <c r="MF3" s="6" t="s">
        <v>469</v>
      </c>
      <c r="MG3" s="6" t="s">
        <v>470</v>
      </c>
      <c r="MH3" s="6" t="s">
        <v>471</v>
      </c>
      <c r="MI3" s="6" t="s">
        <v>472</v>
      </c>
      <c r="MJ3" s="6" t="s">
        <v>473</v>
      </c>
      <c r="MK3" s="6" t="s">
        <v>474</v>
      </c>
      <c r="ML3" s="6" t="s">
        <v>475</v>
      </c>
      <c r="MM3" s="6" t="s">
        <v>476</v>
      </c>
      <c r="MN3" s="6" t="s">
        <v>477</v>
      </c>
      <c r="MO3" s="6" t="s">
        <v>478</v>
      </c>
      <c r="MP3" s="6" t="s">
        <v>479</v>
      </c>
      <c r="MQ3" s="6" t="s">
        <v>480</v>
      </c>
      <c r="MR3" s="6" t="s">
        <v>481</v>
      </c>
      <c r="MS3" s="6" t="s">
        <v>482</v>
      </c>
      <c r="MT3" s="6" t="s">
        <v>483</v>
      </c>
      <c r="MU3" s="6" t="s">
        <v>484</v>
      </c>
      <c r="MV3" s="6" t="s">
        <v>485</v>
      </c>
      <c r="MW3" s="6" t="s">
        <v>486</v>
      </c>
      <c r="MX3" s="6" t="s">
        <v>487</v>
      </c>
      <c r="MY3" s="6" t="s">
        <v>488</v>
      </c>
      <c r="MZ3" s="6" t="s">
        <v>489</v>
      </c>
      <c r="NA3" s="6" t="s">
        <v>490</v>
      </c>
      <c r="NB3" s="6" t="s">
        <v>491</v>
      </c>
      <c r="NC3" s="6" t="s">
        <v>492</v>
      </c>
      <c r="ND3" s="6" t="s">
        <v>493</v>
      </c>
      <c r="NE3" s="6" t="s">
        <v>494</v>
      </c>
      <c r="NF3" s="6" t="s">
        <v>495</v>
      </c>
      <c r="NG3" s="6" t="s">
        <v>496</v>
      </c>
      <c r="NH3" s="6" t="s">
        <v>497</v>
      </c>
      <c r="NI3" s="6" t="s">
        <v>498</v>
      </c>
      <c r="NJ3" s="6" t="s">
        <v>499</v>
      </c>
      <c r="NK3" s="6" t="s">
        <v>500</v>
      </c>
      <c r="NL3" s="6" t="s">
        <v>501</v>
      </c>
      <c r="NM3" s="6" t="s">
        <v>502</v>
      </c>
      <c r="NN3" s="6" t="s">
        <v>503</v>
      </c>
      <c r="NO3" s="6" t="s">
        <v>504</v>
      </c>
      <c r="NP3" s="6" t="s">
        <v>505</v>
      </c>
      <c r="NQ3" s="6" t="s">
        <v>506</v>
      </c>
      <c r="NR3" s="6" t="s">
        <v>507</v>
      </c>
      <c r="NS3" s="6" t="s">
        <v>508</v>
      </c>
      <c r="NT3" s="6" t="s">
        <v>509</v>
      </c>
      <c r="NU3" s="6" t="s">
        <v>510</v>
      </c>
      <c r="NV3" s="6" t="s">
        <v>511</v>
      </c>
      <c r="NW3" s="6" t="s">
        <v>512</v>
      </c>
      <c r="NX3" s="6" t="s">
        <v>513</v>
      </c>
      <c r="NY3" s="6" t="s">
        <v>514</v>
      </c>
      <c r="NZ3" s="6" t="s">
        <v>515</v>
      </c>
      <c r="OA3" s="6" t="s">
        <v>516</v>
      </c>
      <c r="OB3" s="6" t="s">
        <v>521</v>
      </c>
      <c r="OC3" s="6" t="s">
        <v>522</v>
      </c>
      <c r="OD3" s="6" t="s">
        <v>598</v>
      </c>
      <c r="OE3" s="6" t="s">
        <v>523</v>
      </c>
      <c r="OF3" s="6" t="s">
        <v>524</v>
      </c>
      <c r="OG3" s="6" t="s">
        <v>599</v>
      </c>
      <c r="OH3" s="6" t="s">
        <v>525</v>
      </c>
      <c r="OI3" s="6" t="s">
        <v>526</v>
      </c>
      <c r="OJ3" s="6" t="s">
        <v>600</v>
      </c>
      <c r="OK3" s="6" t="s">
        <v>527</v>
      </c>
      <c r="OL3" s="6" t="s">
        <v>528</v>
      </c>
      <c r="OM3" s="6" t="s">
        <v>601</v>
      </c>
      <c r="ON3" s="6" t="s">
        <v>529</v>
      </c>
      <c r="OO3" s="6" t="s">
        <v>530</v>
      </c>
      <c r="OP3" s="6" t="s">
        <v>602</v>
      </c>
      <c r="OQ3" s="6" t="s">
        <v>531</v>
      </c>
      <c r="OR3" s="6" t="s">
        <v>532</v>
      </c>
      <c r="OS3" s="6" t="s">
        <v>603</v>
      </c>
      <c r="OT3" s="6" t="s">
        <v>533</v>
      </c>
      <c r="OU3" s="6" t="s">
        <v>534</v>
      </c>
      <c r="OV3" s="6" t="s">
        <v>604</v>
      </c>
      <c r="OW3" s="6" t="s">
        <v>535</v>
      </c>
      <c r="OX3" s="6" t="s">
        <v>536</v>
      </c>
      <c r="OY3" s="6" t="s">
        <v>605</v>
      </c>
      <c r="OZ3" s="6" t="s">
        <v>537</v>
      </c>
      <c r="PA3" s="6" t="s">
        <v>538</v>
      </c>
      <c r="PB3" s="6" t="s">
        <v>606</v>
      </c>
      <c r="PC3" s="6" t="s">
        <v>539</v>
      </c>
      <c r="PD3" s="6" t="s">
        <v>540</v>
      </c>
      <c r="PE3" s="6" t="s">
        <v>607</v>
      </c>
      <c r="PF3" s="6" t="s">
        <v>541</v>
      </c>
      <c r="PG3" s="6" t="s">
        <v>542</v>
      </c>
      <c r="PH3" s="6" t="s">
        <v>608</v>
      </c>
      <c r="PI3" s="6" t="s">
        <v>543</v>
      </c>
      <c r="PJ3" s="6" t="s">
        <v>544</v>
      </c>
      <c r="PK3" s="6" t="s">
        <v>609</v>
      </c>
      <c r="PL3" s="6" t="s">
        <v>545</v>
      </c>
      <c r="PM3" s="6" t="s">
        <v>546</v>
      </c>
      <c r="PN3" s="6" t="s">
        <v>610</v>
      </c>
      <c r="PO3" s="6" t="s">
        <v>547</v>
      </c>
      <c r="PP3" s="6" t="s">
        <v>548</v>
      </c>
      <c r="PQ3" s="6" t="s">
        <v>611</v>
      </c>
      <c r="PR3" s="6" t="s">
        <v>549</v>
      </c>
      <c r="PS3" s="6" t="s">
        <v>550</v>
      </c>
      <c r="PT3" s="6" t="s">
        <v>612</v>
      </c>
      <c r="PU3" s="6" t="s">
        <v>551</v>
      </c>
      <c r="PV3" s="6" t="s">
        <v>552</v>
      </c>
      <c r="PW3" s="6" t="s">
        <v>613</v>
      </c>
      <c r="PX3" s="6" t="s">
        <v>553</v>
      </c>
      <c r="PY3" s="6" t="s">
        <v>554</v>
      </c>
      <c r="PZ3" s="6" t="s">
        <v>614</v>
      </c>
      <c r="QA3" s="6" t="s">
        <v>555</v>
      </c>
      <c r="QB3" s="6" t="s">
        <v>556</v>
      </c>
      <c r="QC3" s="6" t="s">
        <v>615</v>
      </c>
      <c r="QD3" s="6" t="s">
        <v>557</v>
      </c>
      <c r="QE3" s="6" t="s">
        <v>558</v>
      </c>
      <c r="QF3" s="6" t="s">
        <v>616</v>
      </c>
      <c r="QG3" s="6" t="s">
        <v>559</v>
      </c>
      <c r="QH3" s="6" t="s">
        <v>560</v>
      </c>
      <c r="QI3" s="6" t="s">
        <v>617</v>
      </c>
      <c r="QJ3" s="6" t="s">
        <v>561</v>
      </c>
      <c r="QK3" s="6" t="s">
        <v>562</v>
      </c>
      <c r="QL3" s="6" t="s">
        <v>618</v>
      </c>
      <c r="QM3" s="6" t="s">
        <v>563</v>
      </c>
      <c r="QN3" s="6" t="s">
        <v>564</v>
      </c>
      <c r="QO3" s="6" t="s">
        <v>619</v>
      </c>
      <c r="QP3" s="6" t="s">
        <v>565</v>
      </c>
      <c r="QQ3" s="6" t="s">
        <v>566</v>
      </c>
      <c r="QR3" s="6" t="s">
        <v>620</v>
      </c>
      <c r="QS3" s="6" t="s">
        <v>567</v>
      </c>
      <c r="QT3" s="6" t="s">
        <v>568</v>
      </c>
      <c r="QU3" s="6" t="s">
        <v>621</v>
      </c>
      <c r="QV3" s="6" t="s">
        <v>569</v>
      </c>
      <c r="QW3" s="6" t="s">
        <v>570</v>
      </c>
      <c r="QX3" s="6" t="s">
        <v>622</v>
      </c>
      <c r="QY3" s="6" t="s">
        <v>571</v>
      </c>
      <c r="QZ3" s="6" t="s">
        <v>572</v>
      </c>
      <c r="RA3" s="6" t="s">
        <v>623</v>
      </c>
      <c r="RB3" s="6" t="s">
        <v>573</v>
      </c>
      <c r="RC3" s="6" t="s">
        <v>574</v>
      </c>
      <c r="RD3" s="6" t="s">
        <v>624</v>
      </c>
      <c r="RE3" s="6" t="s">
        <v>575</v>
      </c>
      <c r="RF3" s="6" t="s">
        <v>576</v>
      </c>
      <c r="RG3" s="6" t="s">
        <v>625</v>
      </c>
      <c r="RH3" s="6" t="s">
        <v>577</v>
      </c>
      <c r="RI3" s="6" t="s">
        <v>578</v>
      </c>
      <c r="RJ3" s="6" t="s">
        <v>626</v>
      </c>
      <c r="RK3" s="6" t="s">
        <v>579</v>
      </c>
      <c r="RL3" s="6" t="s">
        <v>580</v>
      </c>
      <c r="RM3" s="6" t="s">
        <v>627</v>
      </c>
      <c r="RN3" s="6" t="s">
        <v>581</v>
      </c>
      <c r="RO3" s="6" t="s">
        <v>582</v>
      </c>
      <c r="RP3" s="6" t="s">
        <v>628</v>
      </c>
      <c r="RQ3" s="6" t="s">
        <v>583</v>
      </c>
      <c r="RR3" s="6" t="s">
        <v>584</v>
      </c>
      <c r="RS3" s="6" t="s">
        <v>629</v>
      </c>
      <c r="RT3" s="6" t="s">
        <v>585</v>
      </c>
      <c r="RU3" s="6" t="s">
        <v>586</v>
      </c>
      <c r="RV3" s="6" t="s">
        <v>630</v>
      </c>
      <c r="RW3" s="6" t="s">
        <v>587</v>
      </c>
      <c r="RX3" s="6" t="s">
        <v>588</v>
      </c>
      <c r="RY3" s="6" t="s">
        <v>631</v>
      </c>
      <c r="RZ3" s="6" t="s">
        <v>589</v>
      </c>
      <c r="SA3" s="6" t="s">
        <v>590</v>
      </c>
      <c r="SB3" s="6" t="s">
        <v>632</v>
      </c>
      <c r="SC3" s="6" t="s">
        <v>591</v>
      </c>
      <c r="SD3" s="6" t="s">
        <v>592</v>
      </c>
      <c r="SE3" s="6" t="s">
        <v>633</v>
      </c>
      <c r="SF3" s="6" t="s">
        <v>593</v>
      </c>
      <c r="SG3" s="6" t="s">
        <v>594</v>
      </c>
      <c r="SH3" s="6" t="s">
        <v>634</v>
      </c>
      <c r="SI3" s="6" t="s">
        <v>595</v>
      </c>
      <c r="SJ3" s="6" t="s">
        <v>596</v>
      </c>
      <c r="SK3" s="6" t="s">
        <v>635</v>
      </c>
      <c r="SL3" s="6" t="s">
        <v>597</v>
      </c>
      <c r="SM3" s="6" t="s">
        <v>636</v>
      </c>
      <c r="SN3" s="6" t="s">
        <v>637</v>
      </c>
      <c r="SO3" s="6" t="s">
        <v>638</v>
      </c>
      <c r="SP3" s="6" t="s">
        <v>639</v>
      </c>
      <c r="SQ3" s="6" t="s">
        <v>640</v>
      </c>
      <c r="SR3" s="6" t="s">
        <v>641</v>
      </c>
      <c r="SS3" s="6" t="s">
        <v>642</v>
      </c>
      <c r="ST3" s="6" t="s">
        <v>643</v>
      </c>
      <c r="SU3" s="6" t="s">
        <v>644</v>
      </c>
      <c r="SV3" s="6" t="s">
        <v>645</v>
      </c>
      <c r="SW3" s="6" t="s">
        <v>646</v>
      </c>
      <c r="SX3" s="6" t="s">
        <v>647</v>
      </c>
      <c r="SY3" s="6" t="s">
        <v>648</v>
      </c>
      <c r="SZ3" s="6" t="s">
        <v>649</v>
      </c>
      <c r="TA3" s="6" t="s">
        <v>650</v>
      </c>
      <c r="TB3" s="6" t="s">
        <v>651</v>
      </c>
      <c r="TC3" s="6" t="s">
        <v>652</v>
      </c>
      <c r="TD3" s="6" t="s">
        <v>653</v>
      </c>
      <c r="TE3" s="6" t="s">
        <v>654</v>
      </c>
      <c r="TF3" s="6" t="s">
        <v>655</v>
      </c>
      <c r="TG3" s="6" t="s">
        <v>656</v>
      </c>
      <c r="TH3" s="6" t="s">
        <v>657</v>
      </c>
      <c r="TI3" s="6" t="s">
        <v>658</v>
      </c>
      <c r="TJ3" s="6" t="s">
        <v>659</v>
      </c>
      <c r="TK3" s="6" t="s">
        <v>660</v>
      </c>
      <c r="TL3" s="6" t="s">
        <v>661</v>
      </c>
      <c r="TM3" s="6" t="s">
        <v>662</v>
      </c>
      <c r="TN3" s="6" t="s">
        <v>663</v>
      </c>
      <c r="TO3" s="6" t="s">
        <v>664</v>
      </c>
      <c r="TP3" s="6" t="s">
        <v>665</v>
      </c>
      <c r="TQ3" s="6" t="s">
        <v>666</v>
      </c>
      <c r="TR3" s="6" t="s">
        <v>667</v>
      </c>
      <c r="TS3" s="6" t="s">
        <v>668</v>
      </c>
      <c r="TT3" s="6" t="s">
        <v>669</v>
      </c>
      <c r="TU3" s="6" t="s">
        <v>670</v>
      </c>
      <c r="TV3" s="6" t="s">
        <v>671</v>
      </c>
      <c r="TW3" s="6" t="s">
        <v>672</v>
      </c>
      <c r="TX3" s="6" t="s">
        <v>673</v>
      </c>
      <c r="TY3" s="6" t="s">
        <v>674</v>
      </c>
      <c r="TZ3" s="6" t="s">
        <v>675</v>
      </c>
      <c r="UA3" s="6" t="s">
        <v>676</v>
      </c>
      <c r="UB3" s="6" t="s">
        <v>677</v>
      </c>
      <c r="UC3" s="6" t="s">
        <v>678</v>
      </c>
      <c r="UD3" s="6" t="s">
        <v>679</v>
      </c>
      <c r="UE3" s="6" t="s">
        <v>680</v>
      </c>
      <c r="UF3" s="6" t="s">
        <v>681</v>
      </c>
      <c r="UG3" s="6" t="s">
        <v>682</v>
      </c>
      <c r="UH3" s="6" t="s">
        <v>683</v>
      </c>
      <c r="UI3" s="6" t="s">
        <v>684</v>
      </c>
      <c r="UJ3" s="6" t="s">
        <v>685</v>
      </c>
      <c r="UK3" s="6" t="s">
        <v>686</v>
      </c>
      <c r="UL3" s="6" t="s">
        <v>687</v>
      </c>
      <c r="UM3" s="6" t="s">
        <v>688</v>
      </c>
      <c r="UN3" s="6" t="s">
        <v>689</v>
      </c>
      <c r="UO3" s="6" t="s">
        <v>690</v>
      </c>
      <c r="UP3" s="6" t="s">
        <v>691</v>
      </c>
      <c r="UQ3" s="6" t="s">
        <v>692</v>
      </c>
      <c r="UR3" s="6" t="s">
        <v>693</v>
      </c>
      <c r="US3" s="6" t="s">
        <v>694</v>
      </c>
      <c r="UT3" s="6" t="s">
        <v>695</v>
      </c>
      <c r="UU3" s="6" t="s">
        <v>696</v>
      </c>
      <c r="UV3" s="6" t="s">
        <v>697</v>
      </c>
      <c r="UW3" s="6" t="s">
        <v>698</v>
      </c>
      <c r="UX3" s="6" t="s">
        <v>699</v>
      </c>
      <c r="UY3" s="6" t="s">
        <v>700</v>
      </c>
      <c r="UZ3" s="6" t="s">
        <v>701</v>
      </c>
      <c r="VA3" s="6" t="s">
        <v>702</v>
      </c>
      <c r="VB3" s="6" t="s">
        <v>703</v>
      </c>
      <c r="VC3" s="6" t="s">
        <v>704</v>
      </c>
      <c r="VD3" s="6" t="s">
        <v>705</v>
      </c>
      <c r="VE3" s="6" t="s">
        <v>706</v>
      </c>
      <c r="VF3" s="6" t="s">
        <v>707</v>
      </c>
      <c r="VG3" s="6" t="s">
        <v>708</v>
      </c>
      <c r="VH3" s="6" t="s">
        <v>709</v>
      </c>
      <c r="VI3" s="6" t="s">
        <v>710</v>
      </c>
      <c r="VJ3" s="6" t="s">
        <v>711</v>
      </c>
      <c r="VK3" s="6" t="s">
        <v>712</v>
      </c>
      <c r="VL3" s="6" t="s">
        <v>713</v>
      </c>
      <c r="VM3" s="6" t="s">
        <v>714</v>
      </c>
      <c r="VN3" s="6" t="s">
        <v>715</v>
      </c>
      <c r="VO3" s="6" t="s">
        <v>716</v>
      </c>
      <c r="VP3" s="6" t="s">
        <v>717</v>
      </c>
      <c r="VQ3" s="6" t="s">
        <v>718</v>
      </c>
      <c r="VR3" s="6" t="s">
        <v>719</v>
      </c>
      <c r="VS3" s="6" t="s">
        <v>720</v>
      </c>
      <c r="VT3" s="6" t="s">
        <v>721</v>
      </c>
      <c r="VU3" s="6" t="s">
        <v>722</v>
      </c>
      <c r="VV3" s="6" t="s">
        <v>723</v>
      </c>
      <c r="VW3" s="6" t="s">
        <v>724</v>
      </c>
      <c r="VX3" s="6" t="s">
        <v>725</v>
      </c>
      <c r="VY3" s="6" t="s">
        <v>726</v>
      </c>
      <c r="VZ3" s="6" t="s">
        <v>727</v>
      </c>
      <c r="WA3" s="6" t="s">
        <v>728</v>
      </c>
      <c r="WB3" s="6" t="s">
        <v>729</v>
      </c>
      <c r="WC3" s="6" t="s">
        <v>730</v>
      </c>
      <c r="WD3" s="6" t="s">
        <v>731</v>
      </c>
      <c r="WE3" s="6" t="s">
        <v>732</v>
      </c>
      <c r="WF3" s="6" t="s">
        <v>733</v>
      </c>
      <c r="WG3" s="6" t="s">
        <v>734</v>
      </c>
      <c r="WH3" s="6" t="s">
        <v>735</v>
      </c>
      <c r="WI3" s="6" t="s">
        <v>736</v>
      </c>
      <c r="WJ3" s="6" t="s">
        <v>737</v>
      </c>
      <c r="WK3" s="6" t="s">
        <v>738</v>
      </c>
      <c r="WL3" s="6" t="s">
        <v>739</v>
      </c>
      <c r="WM3" s="6" t="s">
        <v>740</v>
      </c>
      <c r="WN3" s="6" t="s">
        <v>741</v>
      </c>
      <c r="WO3" s="6" t="s">
        <v>742</v>
      </c>
      <c r="WP3" s="6" t="s">
        <v>743</v>
      </c>
      <c r="WQ3" s="6" t="s">
        <v>744</v>
      </c>
      <c r="WR3" s="6" t="s">
        <v>745</v>
      </c>
      <c r="WS3" s="6" t="s">
        <v>746</v>
      </c>
      <c r="WT3" s="6" t="s">
        <v>747</v>
      </c>
      <c r="WU3" s="6" t="s">
        <v>748</v>
      </c>
      <c r="WV3" s="6" t="s">
        <v>749</v>
      </c>
      <c r="WW3" s="6" t="s">
        <v>750</v>
      </c>
      <c r="WX3" s="6" t="s">
        <v>751</v>
      </c>
      <c r="WY3" s="6" t="s">
        <v>752</v>
      </c>
      <c r="WZ3" s="6" t="s">
        <v>753</v>
      </c>
      <c r="XA3" s="6" t="s">
        <v>754</v>
      </c>
    </row>
    <row r="4" spans="1:625" s="5" customFormat="1" ht="63">
      <c r="A4" s="5">
        <v>15081</v>
      </c>
      <c r="B4" s="5" t="s">
        <v>933</v>
      </c>
      <c r="C4" s="24" t="s">
        <v>934</v>
      </c>
      <c r="D4" s="5">
        <v>1</v>
      </c>
      <c r="E4" s="5">
        <v>1</v>
      </c>
      <c r="F4" s="5" t="s">
        <v>935</v>
      </c>
      <c r="G4" s="5">
        <v>1</v>
      </c>
      <c r="H4" s="5" t="s">
        <v>761</v>
      </c>
      <c r="I4" s="5">
        <v>15082</v>
      </c>
      <c r="J4" s="5">
        <v>5.6400000000000006E-2</v>
      </c>
      <c r="K4" s="5" t="s">
        <v>761</v>
      </c>
      <c r="L4" s="5">
        <v>15083</v>
      </c>
      <c r="M4" s="5">
        <v>0.1452</v>
      </c>
      <c r="N4" s="5" t="s">
        <v>761</v>
      </c>
      <c r="O4" s="5">
        <v>15084</v>
      </c>
      <c r="P4" s="5">
        <v>0.2016</v>
      </c>
      <c r="Q4" s="5" t="s">
        <v>761</v>
      </c>
      <c r="R4" s="5">
        <v>15085</v>
      </c>
      <c r="S4" s="5">
        <v>0.1988</v>
      </c>
      <c r="T4" s="5" t="s">
        <v>761</v>
      </c>
      <c r="U4" s="5">
        <v>15088</v>
      </c>
      <c r="V4" s="5">
        <v>0.151</v>
      </c>
      <c r="W4" s="5" t="s">
        <v>761</v>
      </c>
      <c r="X4" s="5">
        <v>15089</v>
      </c>
      <c r="Y4" s="5">
        <v>0.104</v>
      </c>
      <c r="Z4" s="5" t="s">
        <v>761</v>
      </c>
      <c r="AA4" s="5">
        <v>15091</v>
      </c>
      <c r="AB4" s="5">
        <v>4.2000000000000003E-2</v>
      </c>
      <c r="AC4" s="5" t="s">
        <v>761</v>
      </c>
      <c r="AD4" s="5">
        <v>15092</v>
      </c>
      <c r="AE4" s="5">
        <v>2.8000000000000001E-2</v>
      </c>
      <c r="AF4" s="5" t="s">
        <v>761</v>
      </c>
      <c r="AG4" s="5">
        <v>15093</v>
      </c>
      <c r="AH4" s="5">
        <v>4.0000000000000001E-3</v>
      </c>
      <c r="AI4" s="5" t="s">
        <v>761</v>
      </c>
      <c r="AJ4" s="5">
        <v>15094</v>
      </c>
      <c r="AK4" s="5">
        <v>4.2000000000000003E-2</v>
      </c>
      <c r="AL4" s="5" t="s">
        <v>761</v>
      </c>
      <c r="AM4" s="5">
        <v>15095</v>
      </c>
      <c r="AN4" s="5">
        <v>2.7E-2</v>
      </c>
    </row>
    <row r="6" spans="1:625" ht="17.25" customHeight="1">
      <c r="A6" s="46" t="s">
        <v>126</v>
      </c>
      <c r="B6" s="46"/>
      <c r="C6" s="24"/>
    </row>
    <row r="7" spans="1:625" ht="17.25" customHeight="1">
      <c r="A7" s="45" t="str">
        <f>DividBy_AutoNextLine(M24:M1034,"   ",2)</f>
        <v>寶箱: (5.6%)   寶箱: (14.5%)
寶箱: (20.2%)   寶箱: (19.9%)
寶箱: (15.1%)   寶箱: (10.4%)
寶箱: (4.2%)   寶箱: (2.8%)
寶箱: (0.4%)   寶箱: (4.2%)
寶箱: (2.7%)</v>
      </c>
      <c r="B7" s="45"/>
      <c r="C7" s="24"/>
    </row>
    <row r="8" spans="1:625" ht="17.25" customHeight="1">
      <c r="A8" s="45"/>
      <c r="B8" s="45"/>
      <c r="C8" s="24"/>
    </row>
    <row r="9" spans="1:625" ht="17.25" customHeight="1">
      <c r="A9" s="45"/>
      <c r="B9" s="45"/>
      <c r="C9" s="24"/>
      <c r="D9" s="16"/>
    </row>
    <row r="10" spans="1:625" ht="17.25" customHeight="1">
      <c r="A10" s="45"/>
      <c r="B10" s="45"/>
      <c r="C10" s="24"/>
      <c r="D10" s="16"/>
    </row>
    <row r="11" spans="1:625" ht="17.25" customHeight="1">
      <c r="A11" s="45"/>
      <c r="B11" s="45"/>
      <c r="C11" s="24"/>
      <c r="D11" s="16"/>
    </row>
    <row r="12" spans="1:625" ht="17.25" customHeight="1">
      <c r="A12" s="45"/>
      <c r="B12" s="45"/>
      <c r="C12" s="24"/>
      <c r="D12" s="16"/>
    </row>
    <row r="13" spans="1:625" ht="17.25" customHeight="1">
      <c r="A13" s="45"/>
      <c r="B13" s="45"/>
      <c r="C13" s="24"/>
      <c r="D13" s="16"/>
    </row>
    <row r="14" spans="1:625" ht="17.25" customHeight="1">
      <c r="A14" s="45"/>
      <c r="B14" s="45"/>
      <c r="C14" s="24"/>
      <c r="D14" s="16"/>
    </row>
    <row r="15" spans="1:625" ht="17.25" customHeight="1">
      <c r="A15" s="45"/>
      <c r="B15" s="45"/>
    </row>
    <row r="16" spans="1:625" ht="17.25" customHeight="1">
      <c r="A16" s="45"/>
      <c r="B16" s="45"/>
      <c r="C16" s="24"/>
    </row>
    <row r="17" spans="1:23" ht="17.25" customHeight="1">
      <c r="A17" s="45"/>
      <c r="B17" s="45"/>
      <c r="C17" s="21"/>
    </row>
    <row r="18" spans="1:23" ht="17.25" customHeight="1">
      <c r="A18" s="21" t="str">
        <f>IF(B22&lt;&gt;"","Error",IF(COUNTIF(O24:O434,"Error"),"Error",IF(COUNTIF(N24:N434,"Error"),"Error","")))</f>
        <v/>
      </c>
    </row>
    <row r="19" spans="1:23" ht="17.25" customHeight="1">
      <c r="A19" s="23" t="s">
        <v>85</v>
      </c>
    </row>
    <row r="20" spans="1:23" ht="17.25" customHeight="1">
      <c r="A20" s="22" t="s">
        <v>932</v>
      </c>
    </row>
    <row r="21" spans="1:23" ht="17.25" customHeight="1">
      <c r="A21" s="23" t="s">
        <v>110</v>
      </c>
    </row>
    <row r="22" spans="1:23" ht="17.25" customHeight="1">
      <c r="A22" s="22">
        <v>1</v>
      </c>
      <c r="B22" s="21"/>
      <c r="C22" s="5">
        <f>SUM(C24:C1042)</f>
        <v>1</v>
      </c>
      <c r="D22" s="19">
        <f>SUM(D24:D1042)</f>
        <v>1</v>
      </c>
      <c r="F22">
        <v>168</v>
      </c>
      <c r="G22">
        <f>SUM($G$24:$G$100)</f>
        <v>60.816108</v>
      </c>
      <c r="H22">
        <f>F22/G22</f>
        <v>2.762426033576499</v>
      </c>
    </row>
    <row r="23" spans="1:23" ht="17.25" customHeight="1">
      <c r="A23" s="6" t="s">
        <v>85</v>
      </c>
      <c r="B23" s="6" t="s">
        <v>517</v>
      </c>
      <c r="C23" s="6" t="s">
        <v>115</v>
      </c>
      <c r="D23" s="6" t="s">
        <v>127</v>
      </c>
      <c r="E23" s="6" t="s">
        <v>520</v>
      </c>
      <c r="J23" s="17" t="s">
        <v>129</v>
      </c>
      <c r="K23" s="17" t="s">
        <v>83</v>
      </c>
      <c r="L23" s="17" t="s">
        <v>127</v>
      </c>
      <c r="M23" s="17" t="s">
        <v>128</v>
      </c>
      <c r="N23" s="6" t="s">
        <v>518</v>
      </c>
      <c r="O23" s="6" t="s">
        <v>519</v>
      </c>
    </row>
    <row r="24" spans="1:23" ht="17.25" customHeight="1">
      <c r="A24" s="40" t="s">
        <v>761</v>
      </c>
      <c r="B24" s="29">
        <v>15082</v>
      </c>
      <c r="C24" s="22">
        <v>5.6400000000000006E-2</v>
      </c>
      <c r="D24" s="19">
        <f t="shared" ref="D24:D33" si="0">IF($A$20="Random",IF(C24&lt;&gt;"",C24/$C$22,""),"把A20改成Random")</f>
        <v>5.6400000000000006E-2</v>
      </c>
      <c r="E24">
        <v>1</v>
      </c>
      <c r="F24" s="29">
        <f>B24/100</f>
        <v>150.82</v>
      </c>
      <c r="G24" s="39">
        <f>D24*F24</f>
        <v>8.5062480000000011</v>
      </c>
      <c r="J24" s="5" t="str">
        <f>IF(A24&lt;&gt;"",VLOOKUP(A24,Setting!A$11:B$50,2,FALSE),"")</f>
        <v>寶箱</v>
      </c>
      <c r="K24" s="20" t="str">
        <f>IF(B24&lt;&gt;"", IF(A24="Supply",VLOOKUP(B24,[1]Supply!$A:$B,2,FALSE),IF(A24="Gold",B24,IF(A24="Point",B24,IF(A24="Ball",B24,"")))),"")</f>
        <v/>
      </c>
      <c r="L24" s="5" t="str">
        <f t="shared" ref="L24:L28" si="1">IF(D24&lt;&gt;"",TEXT(D24,"0.0%"),"")</f>
        <v>5.6%</v>
      </c>
      <c r="M24" t="str">
        <f t="shared" ref="M24" si="2">IF(J24&lt;&gt;"",IF(ISERROR(K24)=FALSE,J24&amp;":"&amp;K24&amp;" ("&amp;L24&amp;")","Error"),"")</f>
        <v>寶箱: (5.6%)</v>
      </c>
      <c r="N24" s="21" t="str">
        <f t="shared" ref="N24:N31" si="3">IF(A24&lt;&gt;"",IF(AND( $A$20="Random", OR( $C24&lt;=0,$C24="")),"Error",""),"")</f>
        <v/>
      </c>
      <c r="O24" s="26" t="str">
        <f xml:space="preserve"> IF(A24&lt;&gt;"",IF(ISERROR(J24),"Error",IF(ISERROR(K24),"Error",IF(ISERROR(M24),"Error",""))),"")</f>
        <v/>
      </c>
    </row>
    <row r="25" spans="1:23" ht="17.25" customHeight="1">
      <c r="A25" s="40" t="s">
        <v>761</v>
      </c>
      <c r="B25" s="29">
        <v>15083</v>
      </c>
      <c r="C25" s="22">
        <v>0.1452</v>
      </c>
      <c r="D25" s="19">
        <f t="shared" si="0"/>
        <v>0.1452</v>
      </c>
      <c r="E25">
        <v>2</v>
      </c>
      <c r="F25" s="29">
        <f t="shared" ref="F25:F26" si="4">B25/100</f>
        <v>150.83000000000001</v>
      </c>
      <c r="G25" s="39">
        <f t="shared" ref="G25:G26" si="5">D25*F25</f>
        <v>21.900516</v>
      </c>
      <c r="J25" s="5" t="str">
        <f>IF(A25&lt;&gt;"",VLOOKUP(A25,Setting!A$11:B$50,2,FALSE),"")</f>
        <v>寶箱</v>
      </c>
      <c r="K25" s="20" t="str">
        <f>IF(B25&lt;&gt;"", IF(A25="Supply",VLOOKUP(B25,[1]Supply!$A:$B,2,FALSE),IF(A25="Gold",B25,IF(A25="Point",B25,IF(A25="Ball",B25,"")))),"")</f>
        <v/>
      </c>
      <c r="L25" s="5" t="str">
        <f t="shared" si="1"/>
        <v>14.5%</v>
      </c>
      <c r="M25" t="str">
        <f t="shared" ref="M25:M36" si="6">IF(J25&lt;&gt;"",IF(ISERROR(K25)=FALSE,J25&amp;":"&amp;K25&amp;" ("&amp;L25&amp;")","Error"),"")</f>
        <v>寶箱: (14.5%)</v>
      </c>
      <c r="N25" s="21" t="str">
        <f t="shared" si="3"/>
        <v/>
      </c>
      <c r="O25" s="26"/>
    </row>
    <row r="26" spans="1:23" ht="17.25" customHeight="1">
      <c r="A26" s="40" t="s">
        <v>761</v>
      </c>
      <c r="B26" s="29">
        <v>15084</v>
      </c>
      <c r="C26" s="22">
        <v>0.2016</v>
      </c>
      <c r="D26" s="19">
        <f t="shared" si="0"/>
        <v>0.2016</v>
      </c>
      <c r="E26">
        <v>3</v>
      </c>
      <c r="F26" s="29">
        <f t="shared" si="4"/>
        <v>150.84</v>
      </c>
      <c r="G26" s="39">
        <f t="shared" si="5"/>
        <v>30.409344000000001</v>
      </c>
      <c r="J26" s="5" t="str">
        <f>IF(A26&lt;&gt;"",VLOOKUP(A26,Setting!A$11:B$50,2,FALSE),"")</f>
        <v>寶箱</v>
      </c>
      <c r="K26" s="20" t="str">
        <f>IF(B26&lt;&gt;"", IF(A26="Supply",VLOOKUP(B26,[1]Supply!$A:$B,2,FALSE),IF(A26="Gold",B26,IF(A26="Point",B26,IF(A26="Ball",B26,"")))),"")</f>
        <v/>
      </c>
      <c r="L26" s="5" t="str">
        <f t="shared" si="1"/>
        <v>20.2%</v>
      </c>
      <c r="M26" t="str">
        <f t="shared" si="6"/>
        <v>寶箱: (20.2%)</v>
      </c>
      <c r="N26" s="21" t="str">
        <f t="shared" si="3"/>
        <v/>
      </c>
      <c r="O26" s="26" t="str">
        <f xml:space="preserve"> IF(A26&lt;&gt;"",IF(ISERROR(J26),"Error",IF(ISERROR(K26),"Error",IF(ISERROR(M26),"Error",""))),"")</f>
        <v/>
      </c>
      <c r="W26" s="16"/>
    </row>
    <row r="27" spans="1:23" ht="17.25" customHeight="1">
      <c r="A27" s="40" t="s">
        <v>761</v>
      </c>
      <c r="B27" s="29">
        <v>15085</v>
      </c>
      <c r="C27" s="22">
        <v>0.1988</v>
      </c>
      <c r="D27" s="19">
        <f t="shared" si="0"/>
        <v>0.1988</v>
      </c>
      <c r="E27">
        <v>4</v>
      </c>
      <c r="F27" s="29"/>
      <c r="G27" s="39"/>
      <c r="J27" s="5" t="str">
        <f>IF(A27&lt;&gt;"",VLOOKUP(A27,Setting!A$11:B$50,2,FALSE),"")</f>
        <v>寶箱</v>
      </c>
      <c r="K27" s="20" t="str">
        <f>IF(B27&lt;&gt;"", IF(A27="Supply",VLOOKUP(B27,[1]Supply!$A:$B,2,FALSE),IF(A27="Gold",B27,IF(A27="Point",B27,IF(A27="Ball",B27,"")))),"")</f>
        <v/>
      </c>
      <c r="L27" s="5" t="str">
        <f t="shared" si="1"/>
        <v>19.9%</v>
      </c>
      <c r="M27" t="str">
        <f t="shared" si="6"/>
        <v>寶箱: (19.9%)</v>
      </c>
      <c r="N27" s="21" t="str">
        <f t="shared" si="3"/>
        <v/>
      </c>
      <c r="O27" s="26" t="str">
        <f xml:space="preserve"> IF(A27&lt;&gt;"",IF(ISERROR(J27),"Error",IF(ISERROR(K27),"Error",IF(ISERROR(M27),"Error",""))),"")</f>
        <v/>
      </c>
    </row>
    <row r="28" spans="1:23" ht="17.25" customHeight="1">
      <c r="A28" s="40" t="s">
        <v>761</v>
      </c>
      <c r="B28" s="29">
        <v>15088</v>
      </c>
      <c r="C28" s="22">
        <v>0.151</v>
      </c>
      <c r="D28" s="19">
        <f t="shared" si="0"/>
        <v>0.151</v>
      </c>
      <c r="E28">
        <v>5</v>
      </c>
      <c r="F28" s="29"/>
      <c r="G28" s="39"/>
      <c r="J28" s="5" t="str">
        <f>IF(A28&lt;&gt;"",VLOOKUP(A28,Setting!A$11:B$50,2,FALSE),"")</f>
        <v>寶箱</v>
      </c>
      <c r="K28" s="20" t="str">
        <f>IF(B28&lt;&gt;"", IF(A28="Supply",VLOOKUP(B28,[1]Supply!$A:$B,2,FALSE),IF(A28="Gold",B28,IF(A28="Point",B28,IF(A28="Ball",B28,"")))),"")</f>
        <v/>
      </c>
      <c r="L28" s="5" t="str">
        <f t="shared" si="1"/>
        <v>15.1%</v>
      </c>
      <c r="M28" t="str">
        <f t="shared" si="6"/>
        <v>寶箱: (15.1%)</v>
      </c>
      <c r="N28" s="21" t="str">
        <f t="shared" si="3"/>
        <v/>
      </c>
      <c r="O28" s="26" t="str">
        <f xml:space="preserve"> IF(A28&lt;&gt;"",IF(ISERROR(J28),"Error",IF(ISERROR(K28),"Error",IF(ISERROR(M28),"Error",""))),"")</f>
        <v/>
      </c>
    </row>
    <row r="29" spans="1:23" ht="17.25" customHeight="1">
      <c r="A29" s="40" t="s">
        <v>761</v>
      </c>
      <c r="B29" s="29">
        <v>15089</v>
      </c>
      <c r="C29" s="22">
        <v>0.104</v>
      </c>
      <c r="D29" s="19">
        <f t="shared" si="0"/>
        <v>0.104</v>
      </c>
      <c r="E29">
        <v>6</v>
      </c>
      <c r="F29" s="29"/>
      <c r="G29" s="39"/>
      <c r="J29" s="5" t="str">
        <f>IF(A29&lt;&gt;"",VLOOKUP(A29,Setting!A$11:B$50,2,FALSE),"")</f>
        <v>寶箱</v>
      </c>
      <c r="K29" s="20" t="str">
        <f>IF(B29&lt;&gt;"", IF(A29="Supply",VLOOKUP(B29,[1]Supply!$A:$B,2,FALSE),IF(A29="Gold",B29,IF(A29="Point",B29,IF(A29="Ball",B29,"")))),"")</f>
        <v/>
      </c>
      <c r="L29" s="5" t="str">
        <f t="shared" ref="L29:L32" si="7">IF(D29&lt;&gt;"",TEXT(D29,"0.0%"),"")</f>
        <v>10.4%</v>
      </c>
      <c r="M29" t="str">
        <f t="shared" ref="M29:M32" si="8">IF(J29&lt;&gt;"",IF(ISERROR(K29)=FALSE,J29&amp;":"&amp;K29&amp;" ("&amp;L29&amp;")","Error"),"")</f>
        <v>寶箱: (10.4%)</v>
      </c>
      <c r="N29" s="21" t="str">
        <f t="shared" si="3"/>
        <v/>
      </c>
      <c r="O29" s="26" t="str">
        <f xml:space="preserve"> IF(A29&lt;&gt;"",IF(ISERROR(J29),"Error",IF(ISERROR(K29),"Error",IF(ISERROR(M29),"Error",""))),"")</f>
        <v/>
      </c>
    </row>
    <row r="30" spans="1:23" ht="17.25" customHeight="1">
      <c r="A30" s="40" t="s">
        <v>761</v>
      </c>
      <c r="B30" s="29">
        <v>15091</v>
      </c>
      <c r="C30" s="22">
        <v>4.2000000000000003E-2</v>
      </c>
      <c r="D30" s="19">
        <f t="shared" si="0"/>
        <v>4.2000000000000003E-2</v>
      </c>
      <c r="E30">
        <v>7</v>
      </c>
      <c r="F30" s="29"/>
      <c r="G30" s="39"/>
      <c r="J30" s="5" t="str">
        <f>IF(A30&lt;&gt;"",VLOOKUP(A30,Setting!A$11:B$50,2,FALSE),"")</f>
        <v>寶箱</v>
      </c>
      <c r="K30" s="20" t="str">
        <f>IF(B30&lt;&gt;"", IF(A30="Supply",VLOOKUP(B30,[1]Supply!$A:$B,2,FALSE),IF(A30="Gold",B30,IF(A30="Point",B30,IF(A30="Ball",B30,"")))),"")</f>
        <v/>
      </c>
      <c r="L30" s="5" t="str">
        <f t="shared" si="7"/>
        <v>4.2%</v>
      </c>
      <c r="M30" t="str">
        <f t="shared" si="8"/>
        <v>寶箱: (4.2%)</v>
      </c>
      <c r="N30" s="21" t="str">
        <f t="shared" si="3"/>
        <v/>
      </c>
      <c r="O30" s="26" t="str">
        <f xml:space="preserve"> IF(A30&lt;&gt;"",IF(ISERROR(J30),"Error",IF(ISERROR(K30),"Error",IF(ISERROR(M30),"Error",""))),"")</f>
        <v/>
      </c>
    </row>
    <row r="31" spans="1:23" ht="17.25" customHeight="1">
      <c r="A31" s="40" t="s">
        <v>761</v>
      </c>
      <c r="B31" s="29">
        <v>15092</v>
      </c>
      <c r="C31" s="22">
        <v>2.8000000000000001E-2</v>
      </c>
      <c r="D31" s="19">
        <f t="shared" si="0"/>
        <v>2.8000000000000001E-2</v>
      </c>
      <c r="E31">
        <v>8</v>
      </c>
      <c r="F31" s="29"/>
      <c r="G31" s="39"/>
      <c r="J31" s="5" t="str">
        <f>IF(A31&lt;&gt;"",VLOOKUP(A31,Setting!A$11:B$50,2,FALSE),"")</f>
        <v>寶箱</v>
      </c>
      <c r="K31" s="20" t="str">
        <f>IF(B31&lt;&gt;"", IF(A31="Supply",VLOOKUP(B31,[1]Supply!$A:$B,2,FALSE),IF(A31="Gold",B31,IF(A31="Point",B31,IF(A31="Ball",B31,"")))),"")</f>
        <v/>
      </c>
      <c r="L31" s="5" t="str">
        <f t="shared" si="7"/>
        <v>2.8%</v>
      </c>
      <c r="M31" t="str">
        <f t="shared" si="8"/>
        <v>寶箱: (2.8%)</v>
      </c>
      <c r="N31" s="21" t="str">
        <f t="shared" si="3"/>
        <v/>
      </c>
      <c r="O31" s="26"/>
    </row>
    <row r="32" spans="1:23" ht="17.25" customHeight="1">
      <c r="A32" s="40" t="s">
        <v>761</v>
      </c>
      <c r="B32" s="29">
        <v>15093</v>
      </c>
      <c r="C32" s="22">
        <v>4.0000000000000001E-3</v>
      </c>
      <c r="D32" s="19">
        <f t="shared" si="0"/>
        <v>4.0000000000000001E-3</v>
      </c>
      <c r="E32">
        <v>9</v>
      </c>
      <c r="F32" s="29"/>
      <c r="G32" s="39"/>
      <c r="J32" s="5" t="str">
        <f>IF(A32&lt;&gt;"",VLOOKUP(A32,Setting!A$11:B$50,2,FALSE),"")</f>
        <v>寶箱</v>
      </c>
      <c r="K32" s="20" t="str">
        <f>IF(B32&lt;&gt;"", IF(A32="Supply",VLOOKUP(B32,[1]Supply!$A:$B,2,FALSE),IF(A32="Gold",B32,IF(A32="Point",B32,IF(A32="Ball",B32,"")))),"")</f>
        <v/>
      </c>
      <c r="L32" s="5" t="str">
        <f t="shared" si="7"/>
        <v>0.4%</v>
      </c>
      <c r="M32" t="str">
        <f t="shared" si="8"/>
        <v>寶箱: (0.4%)</v>
      </c>
      <c r="N32" s="21" t="str">
        <f t="shared" ref="N32:N36" si="9">IF(A32&lt;&gt;"",IF(AND( $A$20="Random", OR( $C32&lt;=0,$C32="")),"Error",""),"")</f>
        <v/>
      </c>
      <c r="O32" s="26"/>
    </row>
    <row r="33" spans="1:18" ht="17.25" customHeight="1">
      <c r="A33" s="40" t="s">
        <v>761</v>
      </c>
      <c r="B33" s="29">
        <v>15094</v>
      </c>
      <c r="C33" s="22">
        <v>4.2000000000000003E-2</v>
      </c>
      <c r="D33" s="19">
        <f t="shared" si="0"/>
        <v>4.2000000000000003E-2</v>
      </c>
      <c r="E33">
        <v>10</v>
      </c>
      <c r="F33" s="29"/>
      <c r="J33" s="5" t="str">
        <f>IF(A33&lt;&gt;"",VLOOKUP(A33,Setting!A$11:B$50,2,FALSE),"")</f>
        <v>寶箱</v>
      </c>
      <c r="K33" s="20" t="str">
        <f>IF(B33&lt;&gt;"", IF(A33="Supply",VLOOKUP(B33,[1]Supply!$A:$B,2,FALSE),IF(A33="Gold",B33,IF(A33="Point",B33,IF(A33="Ball",B33,"")))),"")</f>
        <v/>
      </c>
      <c r="L33" s="5" t="str">
        <f t="shared" ref="L33:L36" si="10">IF(D33&lt;&gt;"",TEXT(D33,"0.0%"),"")</f>
        <v>4.2%</v>
      </c>
      <c r="M33" t="str">
        <f t="shared" si="6"/>
        <v>寶箱: (4.2%)</v>
      </c>
      <c r="N33" s="21" t="str">
        <f t="shared" si="9"/>
        <v/>
      </c>
      <c r="O33" s="26" t="str">
        <f t="shared" ref="O33:O44" si="11" xml:space="preserve"> IF(A33&lt;&gt;"",IF(ISERROR(J33),"Error",IF(ISERROR(K33),"Error",IF(ISERROR(M33),"Error",""))),"")</f>
        <v/>
      </c>
    </row>
    <row r="34" spans="1:18" ht="17.25" customHeight="1">
      <c r="A34" s="40" t="s">
        <v>761</v>
      </c>
      <c r="B34" s="29">
        <v>15095</v>
      </c>
      <c r="C34" s="22">
        <v>2.7E-2</v>
      </c>
      <c r="D34" s="19">
        <f t="shared" ref="D34:D48" si="12">IF($A$20="Random",IF(C34&lt;&gt;"",C34/$C$22,""),"把A20改成Random")</f>
        <v>2.7E-2</v>
      </c>
      <c r="E34">
        <v>11</v>
      </c>
      <c r="F34" s="39"/>
      <c r="J34" s="5" t="str">
        <f>IF(A34&lt;&gt;"",VLOOKUP(A34,Setting!A$11:B$50,2,FALSE),"")</f>
        <v>寶箱</v>
      </c>
      <c r="K34" s="20" t="str">
        <f>IF(B34&lt;&gt;"", IF(A34="Supply",VLOOKUP(B34,[1]Supply!$A:$B,2,FALSE),IF(A34="Gold",B34,IF(A34="Point",B34,IF(A34="Ball",B34,"")))),"")</f>
        <v/>
      </c>
      <c r="L34" s="5" t="str">
        <f t="shared" si="10"/>
        <v>2.7%</v>
      </c>
      <c r="M34" t="str">
        <f t="shared" si="6"/>
        <v>寶箱: (2.7%)</v>
      </c>
      <c r="N34" s="21" t="str">
        <f t="shared" si="9"/>
        <v/>
      </c>
      <c r="O34" s="26"/>
    </row>
    <row r="35" spans="1:18" ht="17.25" customHeight="1">
      <c r="A35" s="40"/>
      <c r="B35" s="29"/>
      <c r="C35" s="22"/>
      <c r="D35" s="19" t="str">
        <f>IF($A$20="Random",IF(C35&lt;&gt;"",C35/$C$22,""),"把A20改成Random")</f>
        <v/>
      </c>
      <c r="E35">
        <v>12</v>
      </c>
      <c r="F35" s="39"/>
      <c r="J35" s="5" t="str">
        <f>IF(A35&lt;&gt;"",VLOOKUP(A35,Setting!A$11:B$50,2,FALSE),"")</f>
        <v/>
      </c>
      <c r="K35" s="20" t="str">
        <f>IF(B35&lt;&gt;"", IF(A35="Supply",VLOOKUP(B35,[1]Supply!$A:$B,2,FALSE),IF(A35="Gold",B35,IF(A35="Point",B35,IF(A35="Ball",B35,"")))),"")</f>
        <v/>
      </c>
      <c r="L35" s="5" t="str">
        <f t="shared" si="10"/>
        <v/>
      </c>
      <c r="M35" t="str">
        <f t="shared" si="6"/>
        <v/>
      </c>
      <c r="N35" s="21" t="str">
        <f t="shared" si="9"/>
        <v/>
      </c>
      <c r="O35" s="26"/>
    </row>
    <row r="36" spans="1:18" ht="17.25" customHeight="1">
      <c r="A36" s="40"/>
      <c r="C36" s="22"/>
      <c r="D36" s="19" t="str">
        <f t="shared" si="12"/>
        <v/>
      </c>
      <c r="E36">
        <v>13</v>
      </c>
      <c r="F36" s="39"/>
      <c r="J36" s="5" t="str">
        <f>IF(A36&lt;&gt;"",VLOOKUP(A36,Setting!A$11:B$50,2,FALSE),"")</f>
        <v/>
      </c>
      <c r="K36" s="20" t="str">
        <f>IF(B36&lt;&gt;"", IF(A36="Supply",VLOOKUP(B36,[1]Supply!$A:$B,2,FALSE),IF(A36="Gold",B36,IF(A36="Point",B36,IF(A36="Ball",B36,"")))),"")</f>
        <v/>
      </c>
      <c r="L36" s="5" t="str">
        <f t="shared" si="10"/>
        <v/>
      </c>
      <c r="M36" t="str">
        <f t="shared" si="6"/>
        <v/>
      </c>
      <c r="N36" s="21" t="str">
        <f t="shared" si="9"/>
        <v/>
      </c>
      <c r="O36" s="26" t="str">
        <f t="shared" si="11"/>
        <v/>
      </c>
    </row>
    <row r="37" spans="1:18" ht="17.25" customHeight="1">
      <c r="A37" s="40"/>
      <c r="B37" s="29"/>
      <c r="C37" s="22"/>
      <c r="D37" s="19" t="str">
        <f t="shared" si="12"/>
        <v/>
      </c>
      <c r="E37">
        <v>14</v>
      </c>
      <c r="F37" s="39"/>
      <c r="J37" s="5" t="str">
        <f>IF(A37&lt;&gt;"",VLOOKUP(A37,Setting!A$11:B$50,2,FALSE),"")</f>
        <v/>
      </c>
      <c r="K37" s="20" t="str">
        <f>IF(B37&lt;&gt;"", IF(A37="Supply",VLOOKUP(B37,[1]Supply!$A:$B,2,FALSE),IF(A37="Gold",B37,IF(A37="Point",B37,IF(A37="Ball",B37,"")))),"")</f>
        <v/>
      </c>
      <c r="L37" s="5" t="str">
        <f t="shared" ref="L37:L40" si="13">IF(D37&lt;&gt;"",TEXT(D37,"0.0%"),"")</f>
        <v/>
      </c>
      <c r="M37" t="str">
        <f t="shared" ref="M37:M40" si="14">IF(J37&lt;&gt;"",IF(ISERROR(K37)=FALSE,J37&amp;":"&amp;K37&amp;" ("&amp;L37&amp;")","Error"),"")</f>
        <v/>
      </c>
      <c r="N37" s="21" t="str">
        <f t="shared" ref="N37:N61" si="15">IF(A37&lt;&gt;"",IF(AND( $A$20="Random", OR( $C37&lt;=0,$C37="")),"Error",""),"")</f>
        <v/>
      </c>
      <c r="O37" s="26" t="str">
        <f t="shared" si="11"/>
        <v/>
      </c>
    </row>
    <row r="38" spans="1:18" ht="17.25" customHeight="1">
      <c r="A38" s="40"/>
      <c r="B38" s="29"/>
      <c r="C38" s="22"/>
      <c r="D38" s="19" t="str">
        <f t="shared" si="12"/>
        <v/>
      </c>
      <c r="E38">
        <v>15</v>
      </c>
      <c r="F38" s="39"/>
      <c r="J38" s="5" t="str">
        <f>IF(A38&lt;&gt;"",VLOOKUP(A38,Setting!A$11:B$50,2,FALSE),"")</f>
        <v/>
      </c>
      <c r="K38" s="20" t="str">
        <f>IF(B38&lt;&gt;"", IF(A38="Supply",VLOOKUP(B38,[1]Supply!$A:$B,2,FALSE),IF(A38="Gold",B38,IF(A38="Point",B38,IF(A38="Ball",B38,"")))),"")</f>
        <v/>
      </c>
      <c r="L38" s="5" t="str">
        <f t="shared" si="13"/>
        <v/>
      </c>
      <c r="M38" t="str">
        <f t="shared" si="14"/>
        <v/>
      </c>
      <c r="N38" s="21" t="str">
        <f t="shared" si="15"/>
        <v/>
      </c>
      <c r="O38" s="26" t="str">
        <f t="shared" si="11"/>
        <v/>
      </c>
    </row>
    <row r="39" spans="1:18" ht="17.25" customHeight="1">
      <c r="A39" s="40"/>
      <c r="B39" s="29"/>
      <c r="C39" s="22"/>
      <c r="D39" s="19" t="str">
        <f t="shared" si="12"/>
        <v/>
      </c>
      <c r="E39">
        <v>16</v>
      </c>
      <c r="F39" s="39"/>
      <c r="J39" s="5" t="str">
        <f>IF(A39&lt;&gt;"",VLOOKUP(A39,Setting!A$11:B$50,2,FALSE),"")</f>
        <v/>
      </c>
      <c r="K39" s="20" t="str">
        <f>IF(B39&lt;&gt;"", IF(A39="Supply",VLOOKUP(B39,[1]Supply!$A:$B,2,FALSE),IF(A39="Gold",B39,IF(A39="Point",B39,IF(A39="Ball",B39,"")))),"")</f>
        <v/>
      </c>
      <c r="L39" s="5" t="str">
        <f t="shared" si="13"/>
        <v/>
      </c>
      <c r="M39" t="str">
        <f t="shared" si="14"/>
        <v/>
      </c>
      <c r="N39" s="21" t="str">
        <f t="shared" si="15"/>
        <v/>
      </c>
      <c r="O39" s="26" t="str">
        <f t="shared" si="11"/>
        <v/>
      </c>
    </row>
    <row r="40" spans="1:18" ht="17.25" customHeight="1">
      <c r="A40" s="40"/>
      <c r="B40" s="29"/>
      <c r="C40" s="22"/>
      <c r="D40" s="19" t="str">
        <f t="shared" si="12"/>
        <v/>
      </c>
      <c r="E40">
        <v>17</v>
      </c>
      <c r="F40" s="39"/>
      <c r="J40" s="5" t="str">
        <f>IF(A40&lt;&gt;"",VLOOKUP(A40,Setting!A$11:B$50,2,FALSE),"")</f>
        <v/>
      </c>
      <c r="K40" s="20" t="str">
        <f>IF(B40&lt;&gt;"", IF(A40="Supply",VLOOKUP(B40,[1]Supply!$A:$B,2,FALSE),IF(A40="Gold",B40,IF(A40="Point",B40,IF(A40="Ball",B40,"")))),"")</f>
        <v/>
      </c>
      <c r="L40" s="5" t="str">
        <f t="shared" si="13"/>
        <v/>
      </c>
      <c r="M40" t="str">
        <f t="shared" si="14"/>
        <v/>
      </c>
      <c r="N40" s="21" t="str">
        <f t="shared" si="15"/>
        <v/>
      </c>
      <c r="O40" s="26"/>
    </row>
    <row r="41" spans="1:18" ht="17.25" customHeight="1">
      <c r="A41" s="40"/>
      <c r="B41" s="29"/>
      <c r="C41" s="22"/>
      <c r="D41" s="19" t="str">
        <f t="shared" si="12"/>
        <v/>
      </c>
      <c r="E41">
        <v>18</v>
      </c>
      <c r="F41" s="39"/>
      <c r="J41" s="5" t="str">
        <f>IF(A41&lt;&gt;"",VLOOKUP(A41,Setting!A$11:B$50,2,FALSE),"")</f>
        <v/>
      </c>
      <c r="K41" s="20" t="str">
        <f>IF(B41&lt;&gt;"", IF(A41="Supply",VLOOKUP(B41,[1]Supply!$A:$B,2,FALSE),IF(A41="Gold",B41,IF(A41="Point",B41,IF(A41="Ball",B41,"")))),"")</f>
        <v/>
      </c>
      <c r="L41" s="5" t="str">
        <f t="shared" ref="L41:L44" si="16">IF(D41&lt;&gt;"",TEXT(D41,"0.0%"),"")</f>
        <v/>
      </c>
      <c r="M41" t="str">
        <f t="shared" ref="M41:M44" si="17">IF(J41&lt;&gt;"",IF(ISERROR(K41)=FALSE,J41&amp;":"&amp;K41&amp;" ("&amp;L41&amp;")","Error"),"")</f>
        <v/>
      </c>
      <c r="N41" s="21" t="str">
        <f t="shared" si="15"/>
        <v/>
      </c>
      <c r="O41" s="26"/>
    </row>
    <row r="42" spans="1:18" ht="17.25" customHeight="1">
      <c r="A42" s="40"/>
      <c r="B42" s="29"/>
      <c r="C42" s="22"/>
      <c r="D42" s="19" t="str">
        <f t="shared" si="12"/>
        <v/>
      </c>
      <c r="E42">
        <v>19</v>
      </c>
      <c r="F42" s="39"/>
      <c r="J42" s="5" t="str">
        <f>IF(A42&lt;&gt;"",VLOOKUP(A42,Setting!A$11:B$50,2,FALSE),"")</f>
        <v/>
      </c>
      <c r="K42" s="20" t="str">
        <f>IF(B42&lt;&gt;"", IF(A42="Supply",VLOOKUP(B42,[1]Supply!$A:$B,2,FALSE),IF(A42="Gold",B42,IF(A42="Point",B42,IF(A42="Ball",B42,"")))),"")</f>
        <v/>
      </c>
      <c r="L42" s="5" t="str">
        <f t="shared" si="16"/>
        <v/>
      </c>
      <c r="M42" t="str">
        <f t="shared" si="17"/>
        <v/>
      </c>
      <c r="N42" s="21" t="str">
        <f t="shared" si="15"/>
        <v/>
      </c>
      <c r="O42" s="26" t="str">
        <f t="shared" si="11"/>
        <v/>
      </c>
    </row>
    <row r="43" spans="1:18" ht="17.25" customHeight="1">
      <c r="A43" s="40"/>
      <c r="B43" s="29"/>
      <c r="C43" s="22"/>
      <c r="D43" s="19" t="str">
        <f t="shared" si="12"/>
        <v/>
      </c>
      <c r="E43">
        <v>20</v>
      </c>
      <c r="F43" s="39"/>
      <c r="J43" s="5" t="str">
        <f>IF(A43&lt;&gt;"",VLOOKUP(A43,Setting!A$11:B$50,2,FALSE),"")</f>
        <v/>
      </c>
      <c r="K43" s="20" t="str">
        <f>IF(B43&lt;&gt;"", IF(A43="Supply",VLOOKUP(B43,[1]Supply!$A:$B,2,FALSE),IF(A43="Gold",B43,IF(A43="Point",B43,IF(A43="Ball",B43,"")))),"")</f>
        <v/>
      </c>
      <c r="L43" s="5" t="str">
        <f t="shared" si="16"/>
        <v/>
      </c>
      <c r="M43" t="str">
        <f t="shared" si="17"/>
        <v/>
      </c>
      <c r="N43" s="21" t="str">
        <f t="shared" si="15"/>
        <v/>
      </c>
      <c r="O43" s="26" t="str">
        <f t="shared" si="11"/>
        <v/>
      </c>
      <c r="R43" s="13"/>
    </row>
    <row r="44" spans="1:18" ht="17.25" customHeight="1">
      <c r="A44" s="40"/>
      <c r="B44" s="29"/>
      <c r="C44" s="22"/>
      <c r="D44" s="19" t="str">
        <f t="shared" si="12"/>
        <v/>
      </c>
      <c r="E44">
        <v>21</v>
      </c>
      <c r="F44" s="39"/>
      <c r="G44" s="39"/>
      <c r="J44" s="5" t="str">
        <f>IF(A44&lt;&gt;"",VLOOKUP(A44,Setting!A$11:B$50,2,FALSE),"")</f>
        <v/>
      </c>
      <c r="K44" s="20" t="str">
        <f>IF(B44&lt;&gt;"", IF(A44="Supply",VLOOKUP(B44,[1]Supply!$A:$B,2,FALSE),IF(A44="Gold",B44,IF(A44="Point",B44,IF(A44="Ball",B44,"")))),"")</f>
        <v/>
      </c>
      <c r="L44" s="5" t="str">
        <f t="shared" si="16"/>
        <v/>
      </c>
      <c r="M44" t="str">
        <f t="shared" si="17"/>
        <v/>
      </c>
      <c r="N44" s="21" t="str">
        <f t="shared" si="15"/>
        <v/>
      </c>
      <c r="O44" s="26" t="str">
        <f t="shared" si="11"/>
        <v/>
      </c>
    </row>
    <row r="45" spans="1:18" ht="17.25" customHeight="1">
      <c r="A45" s="40"/>
      <c r="B45" s="29"/>
      <c r="C45" s="22"/>
      <c r="D45" s="19" t="str">
        <f t="shared" si="12"/>
        <v/>
      </c>
      <c r="E45">
        <v>22</v>
      </c>
      <c r="F45" s="39"/>
      <c r="G45" s="39"/>
      <c r="I45" s="30"/>
      <c r="J45" s="5" t="str">
        <f>IF(A45&lt;&gt;"",VLOOKUP(A45,Setting!A$11:B$50,2,FALSE),"")</f>
        <v/>
      </c>
      <c r="K45" s="20" t="str">
        <f>IF(B45&lt;&gt;"", IF(A45="Supply",VLOOKUP(B45,[1]Supply!$A:$B,2,FALSE),IF(A45="Gold",B45,IF(A45="Point",B45,IF(A45="Ball",B45,"")))),"")</f>
        <v/>
      </c>
      <c r="L45" s="5" t="str">
        <f t="shared" ref="L45:L49" si="18">IF(D45&lt;&gt;"",TEXT(D45,"0.0%"),"")</f>
        <v/>
      </c>
      <c r="M45" t="str">
        <f>IF(J45&lt;&gt;"",IF(ISERROR(K45)=FALSE,J45&amp;":"&amp;K45&amp;" ("&amp;L45&amp;")","Error"),"")</f>
        <v/>
      </c>
      <c r="N45" s="21"/>
      <c r="O45" s="26"/>
    </row>
    <row r="46" spans="1:18" ht="17.25" customHeight="1">
      <c r="A46" s="40"/>
      <c r="B46" s="29"/>
      <c r="C46" s="22"/>
      <c r="D46" s="19" t="str">
        <f t="shared" si="12"/>
        <v/>
      </c>
      <c r="E46">
        <v>23</v>
      </c>
      <c r="F46" s="39"/>
      <c r="G46" s="39"/>
      <c r="I46" s="5"/>
      <c r="J46" s="5" t="str">
        <f>IF(A46&lt;&gt;"",VLOOKUP(A46,Setting!A$11:B$50,2,FALSE),"")</f>
        <v/>
      </c>
      <c r="K46" s="20" t="str">
        <f>IF(B46&lt;&gt;"", IF(A46="Supply",VLOOKUP(B46,[1]Supply!$A:$B,2,FALSE),IF(A46="Gold",B46,IF(A46="Point",B46,IF(A46="Ball",B46,"")))),"")</f>
        <v/>
      </c>
      <c r="L46" s="5" t="str">
        <f t="shared" si="18"/>
        <v/>
      </c>
      <c r="M46" t="str">
        <f>IF(J46&lt;&gt;"",IF(ISERROR(K46)=FALSE,J46&amp;":"&amp;K46&amp;" ("&amp;L46&amp;")","Error"),"")</f>
        <v/>
      </c>
      <c r="N46" s="21"/>
      <c r="O46" s="26"/>
    </row>
    <row r="47" spans="1:18" ht="17.25" customHeight="1">
      <c r="A47" s="40"/>
      <c r="B47" s="29"/>
      <c r="C47" s="22"/>
      <c r="D47" s="19" t="str">
        <f t="shared" si="12"/>
        <v/>
      </c>
      <c r="E47">
        <v>24</v>
      </c>
      <c r="F47" s="39"/>
      <c r="G47" s="39"/>
      <c r="I47" s="5"/>
      <c r="J47" s="5" t="str">
        <f>IF(A47&lt;&gt;"",VLOOKUP(A47,Setting!A$11:B$50,2,FALSE),"")</f>
        <v/>
      </c>
      <c r="K47" s="20" t="str">
        <f>IF(B47&lt;&gt;"", IF(A47="Supply",VLOOKUP(B47,[1]Supply!$A:$B,2,FALSE),IF(A47="Gold",B47,IF(A47="Point",B47,IF(A47="Ball",B47,"")))),"")</f>
        <v/>
      </c>
      <c r="L47" s="5" t="str">
        <f t="shared" si="18"/>
        <v/>
      </c>
      <c r="M47" t="str">
        <f>IF(J47&lt;&gt;"",IF(ISERROR(K47)=FALSE,J47&amp;":"&amp;K47&amp;" ("&amp;L47&amp;")","Error"),"")</f>
        <v/>
      </c>
      <c r="N47" s="21"/>
      <c r="O47" s="26"/>
    </row>
    <row r="48" spans="1:18" ht="17.25" customHeight="1">
      <c r="A48" s="40"/>
      <c r="B48" s="29"/>
      <c r="C48" s="22"/>
      <c r="D48" s="19" t="str">
        <f t="shared" si="12"/>
        <v/>
      </c>
      <c r="E48">
        <v>25</v>
      </c>
      <c r="F48" s="39"/>
      <c r="G48" s="39"/>
      <c r="I48" s="5"/>
      <c r="J48" s="5" t="str">
        <f>IF(A48&lt;&gt;"",VLOOKUP(A48,Setting!A$11:B$50,2,FALSE),"")</f>
        <v/>
      </c>
      <c r="K48" s="20" t="str">
        <f>IF(B48&lt;&gt;"", IF(A48="Supply",VLOOKUP(B48,[1]Supply!$A:$B,2,FALSE),IF(A48="Gold",B48,IF(A48="Point",B48,IF(A48="Ball",B48,"")))),"")</f>
        <v/>
      </c>
      <c r="L48" s="5" t="str">
        <f t="shared" si="18"/>
        <v/>
      </c>
      <c r="M48" t="str">
        <f>IF(J48&lt;&gt;"",IF(ISERROR(K48)=FALSE,J48&amp;":"&amp;K48&amp;" ("&amp;L48&amp;")","Error"),"")</f>
        <v/>
      </c>
      <c r="N48" s="21"/>
      <c r="O48" s="26"/>
    </row>
    <row r="49" spans="1:15" ht="17.25" customHeight="1">
      <c r="A49" s="40"/>
      <c r="B49" s="29"/>
      <c r="C49" s="22"/>
      <c r="D49" s="19" t="str">
        <f t="shared" ref="D49:D88" si="19">IF($A$20="Random",IF(C49&lt;&gt;"",C49/$C$22,""),"把A20改成Random")</f>
        <v/>
      </c>
      <c r="E49">
        <v>26</v>
      </c>
      <c r="I49" s="5"/>
      <c r="J49" s="5" t="str">
        <f>IF(A49&lt;&gt;"",VLOOKUP(A49,Setting!A$11:B$50,2,FALSE),"")</f>
        <v/>
      </c>
      <c r="K49" s="20" t="str">
        <f>IF(B49&lt;&gt;"", IF(A49="Supply",VLOOKUP(B49,[1]Supply!$A:$B,2,FALSE),IF(A49="Gold",B49,IF(A49="Point",B49,IF(A49="Ball",B49,"")))),"")</f>
        <v/>
      </c>
      <c r="L49" s="5" t="str">
        <f t="shared" si="18"/>
        <v/>
      </c>
      <c r="M49" t="str">
        <f>IF(J49&lt;&gt;"",IF(ISERROR(K49)=FALSE,J49&amp;":"&amp;K49&amp;" ("&amp;L49&amp;")","Error"),"")</f>
        <v/>
      </c>
      <c r="N49" s="21"/>
      <c r="O49" s="26"/>
    </row>
    <row r="50" spans="1:15" ht="17.25" customHeight="1">
      <c r="A50" s="40"/>
      <c r="B50" s="29"/>
      <c r="C50" s="22"/>
      <c r="D50" s="19" t="str">
        <f t="shared" si="19"/>
        <v/>
      </c>
      <c r="E50">
        <v>27</v>
      </c>
      <c r="F50" s="39"/>
      <c r="G50" s="39"/>
      <c r="I50" s="5"/>
      <c r="J50" s="5" t="str">
        <f>IF(A50&lt;&gt;"",VLOOKUP(A50,Setting!A$11:B$50,2,FALSE),"")</f>
        <v/>
      </c>
      <c r="K50" s="20" t="str">
        <f>IF(B50&lt;&gt;"", IF(A50="Supply",VLOOKUP(B50,[1]Supply!$A:$B,2,FALSE),IF(A50="Gold",B50,IF(A50="Point",B50,IF(A50="Ball",B50,"")))),"")</f>
        <v/>
      </c>
      <c r="L50" s="5"/>
      <c r="M50" t="str">
        <f>IF(J50&lt;&gt;"",IF(ISERROR(#REF!)=FALSE,J50&amp;":"&amp;#REF!&amp;" ("&amp;#REF!&amp;")","Error"),"")</f>
        <v/>
      </c>
      <c r="N50" s="21"/>
      <c r="O50" s="26"/>
    </row>
    <row r="51" spans="1:15" ht="17.25" customHeight="1">
      <c r="A51" s="40"/>
      <c r="B51" s="29"/>
      <c r="C51" s="22"/>
      <c r="D51" s="19" t="str">
        <f t="shared" si="19"/>
        <v/>
      </c>
      <c r="E51">
        <v>28</v>
      </c>
      <c r="F51" s="39"/>
      <c r="G51" s="39"/>
      <c r="I51" s="5"/>
      <c r="J51" s="5" t="str">
        <f>IF(A51&lt;&gt;"",VLOOKUP(A51,Setting!A$11:B$50,2,FALSE),"")</f>
        <v/>
      </c>
      <c r="K51" s="20" t="str">
        <f>IF(B51&lt;&gt;"", IF(A51="Supply",VLOOKUP(B51,[1]Supply!$A:$B,2,FALSE),IF(A51="Gold",B51,IF(A51="Point",B51,IF(A51="Ball",B51,"")))),"")</f>
        <v/>
      </c>
      <c r="L51" s="5"/>
      <c r="M51" t="str">
        <f>IF(J51&lt;&gt;"",IF(ISERROR(K51)=FALSE,J51&amp;":"&amp;K51&amp;" ("&amp;#REF!&amp;")","Error"),"")</f>
        <v/>
      </c>
      <c r="N51" s="21"/>
      <c r="O51" s="26"/>
    </row>
    <row r="52" spans="1:15" ht="17.25" customHeight="1">
      <c r="A52" s="40"/>
      <c r="B52" s="29"/>
      <c r="C52" s="22"/>
      <c r="D52" s="19" t="str">
        <f t="shared" si="19"/>
        <v/>
      </c>
      <c r="E52">
        <v>29</v>
      </c>
      <c r="F52" s="39"/>
      <c r="G52" s="39"/>
      <c r="I52" s="5"/>
      <c r="J52" s="5"/>
      <c r="K52" s="20" t="str">
        <f>IF(B52&lt;&gt;"", IF(A52="Supply",VLOOKUP(B52,[1]Supply!$A:$B,2,FALSE),IF(A52="Gold",B52,IF(A52="Point",B52,IF(A52="Ball",B52,"")))),"")</f>
        <v/>
      </c>
      <c r="L52" s="5"/>
      <c r="N52" s="21"/>
      <c r="O52" s="26"/>
    </row>
    <row r="53" spans="1:15" ht="17.25" customHeight="1">
      <c r="A53" s="40"/>
      <c r="B53" s="29"/>
      <c r="C53" s="22"/>
      <c r="D53" s="19" t="str">
        <f t="shared" si="19"/>
        <v/>
      </c>
      <c r="E53">
        <v>30</v>
      </c>
      <c r="F53" s="39"/>
      <c r="G53" s="39"/>
      <c r="I53" s="5"/>
      <c r="J53" s="5"/>
      <c r="K53" s="20" t="str">
        <f>IF(B53&lt;&gt;"", IF(A53="Supply",VLOOKUP(B53,[1]Supply!$A:$B,2,FALSE),IF(A53="Gold",B53,IF(A53="Point",B53,IF(A53="Ball",B53,"")))),"")</f>
        <v/>
      </c>
      <c r="L53" s="5"/>
      <c r="N53" s="21"/>
      <c r="O53" s="26"/>
    </row>
    <row r="54" spans="1:15" ht="17.25" customHeight="1">
      <c r="A54" s="40"/>
      <c r="B54" s="29"/>
      <c r="C54" s="22"/>
      <c r="D54" s="19" t="str">
        <f t="shared" si="19"/>
        <v/>
      </c>
      <c r="E54">
        <v>31</v>
      </c>
      <c r="F54" s="39"/>
      <c r="G54" s="39"/>
      <c r="I54" s="5"/>
      <c r="J54" s="5"/>
      <c r="K54" s="20" t="str">
        <f>IF(B54&lt;&gt;"", IF(A54="Supply",VLOOKUP(B54,[1]Supply!$A:$B,2,FALSE),IF(A54="Gold",B54,IF(A54="Point",B54,IF(A54="Ball",B54,"")))),"")</f>
        <v/>
      </c>
      <c r="L54" s="5"/>
      <c r="N54" s="21"/>
      <c r="O54" s="26"/>
    </row>
    <row r="55" spans="1:15" ht="17.25" customHeight="1">
      <c r="A55" s="40"/>
      <c r="B55" s="29"/>
      <c r="C55" s="22"/>
      <c r="D55" s="19" t="str">
        <f t="shared" si="19"/>
        <v/>
      </c>
      <c r="E55">
        <v>32</v>
      </c>
      <c r="F55" s="39"/>
      <c r="I55" s="5"/>
      <c r="J55" s="5"/>
      <c r="K55" s="20" t="str">
        <f>IF(B55&lt;&gt;"", IF(A55="Supply",VLOOKUP(B55,[1]Supply!$A:$B,2,FALSE),IF(A55="Gold",B55,IF(A55="Point",B55,IF(A55="Ball",B55,"")))),"")</f>
        <v/>
      </c>
      <c r="L55" s="5"/>
      <c r="N55" s="21"/>
      <c r="O55" s="26"/>
    </row>
    <row r="56" spans="1:15" ht="17.25" customHeight="1">
      <c r="A56" s="40"/>
      <c r="B56" s="29"/>
      <c r="C56" s="22"/>
      <c r="D56" s="19" t="str">
        <f t="shared" si="19"/>
        <v/>
      </c>
      <c r="E56">
        <v>33</v>
      </c>
      <c r="F56" s="39"/>
      <c r="I56" s="5"/>
      <c r="J56" s="5"/>
      <c r="K56" s="20" t="str">
        <f>IF(B56&lt;&gt;"", IF(A56="Supply",VLOOKUP(B56,[1]Supply!$A:$B,2,FALSE),IF(A56="Gold",B56,IF(A56="Point",B56,IF(A56="Ball",B56,"")))),"")</f>
        <v/>
      </c>
      <c r="L56" s="5"/>
      <c r="N56" s="21"/>
      <c r="O56" s="26"/>
    </row>
    <row r="57" spans="1:15" ht="17.25" customHeight="1">
      <c r="A57" s="40"/>
      <c r="B57" s="29"/>
      <c r="C57" s="22"/>
      <c r="D57" s="19" t="str">
        <f t="shared" si="19"/>
        <v/>
      </c>
      <c r="E57">
        <v>34</v>
      </c>
      <c r="F57" s="39"/>
      <c r="I57" s="5"/>
      <c r="J57" s="5"/>
      <c r="K57" s="20" t="str">
        <f>IF(B57&lt;&gt;"", IF(A57="Supply",VLOOKUP(B57,[1]Supply!$A:$B,2,FALSE),IF(A57="Gold",B57,IF(A57="Point",B57,IF(A57="Ball",B57,"")))),"")</f>
        <v/>
      </c>
      <c r="L57" s="5"/>
      <c r="N57" s="21" t="str">
        <f t="shared" si="15"/>
        <v/>
      </c>
      <c r="O57" s="26" t="str">
        <f t="shared" ref="O57:O62" si="20" xml:space="preserve"> IF(A57&lt;&gt;"",IF(ISERROR(J106),"Error",IF(ISERROR(K57),"Error",IF(ISERROR(M57),"Error",""))),"")</f>
        <v/>
      </c>
    </row>
    <row r="58" spans="1:15" ht="17.25" customHeight="1">
      <c r="A58" s="40"/>
      <c r="B58" s="29"/>
      <c r="C58" s="22"/>
      <c r="D58" s="19" t="str">
        <f t="shared" si="19"/>
        <v/>
      </c>
      <c r="E58">
        <v>35</v>
      </c>
      <c r="F58" s="39"/>
      <c r="I58" s="5"/>
      <c r="J58" s="5"/>
      <c r="K58" s="20" t="str">
        <f>IF(B58&lt;&gt;"", IF(A58="Supply",VLOOKUP(B58,[1]Supply!$A:$B,2,FALSE),IF(A58="Gold",B58,IF(A58="Point",B58,IF(A58="Ball",B58,"")))),"")</f>
        <v/>
      </c>
      <c r="L58" s="5"/>
      <c r="N58" s="21" t="str">
        <f t="shared" si="15"/>
        <v/>
      </c>
      <c r="O58" s="26" t="str">
        <f t="shared" si="20"/>
        <v/>
      </c>
    </row>
    <row r="59" spans="1:15" ht="17.25" customHeight="1">
      <c r="A59" s="40"/>
      <c r="B59" s="29"/>
      <c r="C59" s="22"/>
      <c r="D59" s="19" t="str">
        <f t="shared" si="19"/>
        <v/>
      </c>
      <c r="E59">
        <v>36</v>
      </c>
      <c r="F59" s="39"/>
      <c r="I59" s="5"/>
      <c r="J59" s="5"/>
      <c r="K59" s="20" t="str">
        <f>IF(B59&lt;&gt;"", IF(A59="Supply",VLOOKUP(B59,[1]Supply!$A:$B,2,FALSE),IF(A59="Gold",B59,IF(A59="Point",B59,IF(A59="Ball",B59,"")))),"")</f>
        <v/>
      </c>
      <c r="L59" s="5"/>
      <c r="N59" s="21" t="str">
        <f t="shared" si="15"/>
        <v/>
      </c>
      <c r="O59" s="26" t="str">
        <f t="shared" si="20"/>
        <v/>
      </c>
    </row>
    <row r="60" spans="1:15" ht="17.25" customHeight="1" thickBot="1">
      <c r="A60" s="40"/>
      <c r="B60" s="29"/>
      <c r="C60" s="22"/>
      <c r="D60" s="19" t="str">
        <f t="shared" si="19"/>
        <v/>
      </c>
      <c r="E60">
        <v>37</v>
      </c>
      <c r="F60" s="39"/>
      <c r="I60" s="5"/>
      <c r="J60" s="5"/>
      <c r="K60" s="20" t="str">
        <f>IF(B60&lt;&gt;"", IF(A60="Supply",VLOOKUP(B60,[1]Supply!$A:$B,2,FALSE),IF(A60="Gold",B60,IF(A60="Point",B60,IF(A60="Ball",B60,"")))),"")</f>
        <v/>
      </c>
      <c r="L60" s="5"/>
      <c r="N60" s="21" t="str">
        <f t="shared" si="15"/>
        <v/>
      </c>
      <c r="O60" s="26" t="str">
        <f t="shared" si="20"/>
        <v/>
      </c>
    </row>
    <row r="61" spans="1:15" ht="17.25" customHeight="1" thickBot="1">
      <c r="A61" s="40"/>
      <c r="B61" s="28"/>
      <c r="C61" s="22"/>
      <c r="D61" s="19" t="str">
        <f t="shared" si="19"/>
        <v/>
      </c>
      <c r="E61">
        <v>38</v>
      </c>
      <c r="I61" s="5"/>
      <c r="J61" s="5"/>
      <c r="K61" s="20" t="str">
        <f>IF(B61&lt;&gt;"", IF(A61="Supply",VLOOKUP(B61,[1]Supply!$A:$B,2,FALSE),IF(A61="Gold",B61,IF(A61="Point",B61,IF(A61="Ball",B61,"")))),"")</f>
        <v/>
      </c>
      <c r="L61" s="5"/>
      <c r="N61" s="21" t="str">
        <f t="shared" si="15"/>
        <v/>
      </c>
      <c r="O61" s="26" t="str">
        <f t="shared" si="20"/>
        <v/>
      </c>
    </row>
    <row r="62" spans="1:15" ht="17.25" customHeight="1" thickBot="1">
      <c r="A62" s="40"/>
      <c r="B62" s="28"/>
      <c r="C62" s="22"/>
      <c r="D62" s="19" t="str">
        <f t="shared" si="19"/>
        <v/>
      </c>
      <c r="E62">
        <v>39</v>
      </c>
      <c r="I62" s="5"/>
      <c r="J62" s="39"/>
      <c r="K62" s="20" t="str">
        <f>IF(B62&lt;&gt;"", IF(A62="Supply",VLOOKUP(B62,[1]Supply!$A:$B,2,FALSE),IF(A62="Gold",B62,IF(A62="Point",B62,IF(A62="Ball",B62,"")))),"")</f>
        <v/>
      </c>
      <c r="L62" s="39"/>
      <c r="M62" s="39"/>
      <c r="N62" s="21" t="str">
        <f t="shared" ref="N62:N93" si="21">IF(A62&lt;&gt;"",IF(AND( $A$20="Random", OR( $C62&lt;=0,$C62="")),"Error",""),"")</f>
        <v/>
      </c>
      <c r="O62" s="26" t="str">
        <f t="shared" si="20"/>
        <v/>
      </c>
    </row>
    <row r="63" spans="1:15" ht="17.25" customHeight="1" thickBot="1">
      <c r="A63" s="40"/>
      <c r="B63" s="28"/>
      <c r="C63" s="22"/>
      <c r="D63" s="19" t="str">
        <f t="shared" si="19"/>
        <v/>
      </c>
      <c r="E63">
        <v>40</v>
      </c>
      <c r="I63" s="5"/>
      <c r="J63" s="5"/>
      <c r="K63" s="20" t="str">
        <f>IF(B63&lt;&gt;"", IF(A63="Supply",VLOOKUP(B63,[1]Supply!$A:$B,2,FALSE),IF(A63="Gold",B63,IF(A63="Point",B63,IF(A63="Ball",B63,"")))),"")</f>
        <v/>
      </c>
      <c r="L63" s="39"/>
      <c r="N63" s="21" t="str">
        <f t="shared" si="21"/>
        <v/>
      </c>
      <c r="O63" s="26" t="str">
        <f t="shared" ref="O63:O71" si="22" xml:space="preserve"> IF(A63&lt;&gt;"",IF(ISERROR(J51),"Error",IF(ISERROR(K63),"Error",IF(ISERROR(M63),"Error",""))),"")</f>
        <v/>
      </c>
    </row>
    <row r="64" spans="1:15" ht="17.25" customHeight="1" thickBot="1">
      <c r="A64" s="40"/>
      <c r="B64" s="28"/>
      <c r="C64" s="22"/>
      <c r="D64" s="19" t="str">
        <f t="shared" si="19"/>
        <v/>
      </c>
      <c r="E64">
        <v>41</v>
      </c>
      <c r="I64" s="5"/>
      <c r="J64" s="5"/>
      <c r="K64" s="20" t="str">
        <f>IF(B64&lt;&gt;"", IF(A64="Supply",VLOOKUP(B64,[1]Supply!$A:$B,2,FALSE),IF(A64="Gold",B64,IF(A64="Point",B64,IF(A64="Ball",B64,"")))),"")</f>
        <v/>
      </c>
      <c r="L64" s="39"/>
      <c r="N64" s="21" t="str">
        <f t="shared" si="21"/>
        <v/>
      </c>
      <c r="O64" s="26" t="str">
        <f t="shared" si="22"/>
        <v/>
      </c>
    </row>
    <row r="65" spans="1:15" ht="17.25" customHeight="1" thickBot="1">
      <c r="A65" s="40"/>
      <c r="B65" s="28"/>
      <c r="C65" s="22"/>
      <c r="D65" s="19" t="str">
        <f t="shared" si="19"/>
        <v/>
      </c>
      <c r="E65">
        <v>42</v>
      </c>
      <c r="I65" s="5"/>
      <c r="J65" s="5"/>
      <c r="K65" s="20" t="str">
        <f>IF(B65&lt;&gt;"", IF(A65="Supply",VLOOKUP(B65,[1]Supply!$A:$B,2,FALSE),IF(A65="Gold",B65,IF(A65="Point",B65,IF(A65="Ball",B65,"")))),"")</f>
        <v/>
      </c>
      <c r="L65" s="39"/>
      <c r="N65" s="21" t="str">
        <f t="shared" si="21"/>
        <v/>
      </c>
      <c r="O65" s="26" t="str">
        <f t="shared" si="22"/>
        <v/>
      </c>
    </row>
    <row r="66" spans="1:15" ht="17.25" customHeight="1" thickBot="1">
      <c r="A66" s="22"/>
      <c r="B66" s="28"/>
      <c r="C66" s="22"/>
      <c r="D66" s="19" t="str">
        <f t="shared" si="19"/>
        <v/>
      </c>
      <c r="E66">
        <v>43</v>
      </c>
      <c r="I66" s="5"/>
      <c r="J66" s="5"/>
      <c r="K66" s="20" t="str">
        <f>IF(B66&lt;&gt;"", IF(A66="Supply",VLOOKUP(B66,[1]Supply!$A:$B,2,FALSE),IF(A66="Gold",B66,IF(A66="Point",B66,IF(A66="Ball",B66,"")))),"")</f>
        <v/>
      </c>
      <c r="L66" s="39"/>
      <c r="N66" s="21" t="str">
        <f t="shared" si="21"/>
        <v/>
      </c>
      <c r="O66" s="26" t="str">
        <f t="shared" si="22"/>
        <v/>
      </c>
    </row>
    <row r="67" spans="1:15" ht="17.25" customHeight="1" thickBot="1">
      <c r="A67" s="22"/>
      <c r="B67" s="28"/>
      <c r="C67" s="22"/>
      <c r="D67" s="19" t="str">
        <f t="shared" si="19"/>
        <v/>
      </c>
      <c r="E67">
        <v>44</v>
      </c>
      <c r="F67" s="5"/>
      <c r="G67" s="5"/>
      <c r="H67" s="5"/>
      <c r="I67" s="5"/>
      <c r="J67" s="5"/>
      <c r="K67" s="20" t="str">
        <f>IF(B67&lt;&gt;"", IF(A67="Supply",VLOOKUP(B67,[1]Supply!$A:$B,2,FALSE),IF(A67="Gold",B67,IF(A67="Point",B67,IF(A67="Ball",B67,"")))),"")</f>
        <v/>
      </c>
      <c r="L67" s="39"/>
      <c r="N67" s="21" t="str">
        <f t="shared" si="21"/>
        <v/>
      </c>
      <c r="O67" s="26" t="str">
        <f t="shared" si="22"/>
        <v/>
      </c>
    </row>
    <row r="68" spans="1:15" ht="17.25" customHeight="1" thickBot="1">
      <c r="A68" s="22"/>
      <c r="B68" s="28"/>
      <c r="C68" s="22"/>
      <c r="D68" s="19" t="str">
        <f t="shared" si="19"/>
        <v/>
      </c>
      <c r="E68">
        <v>45</v>
      </c>
      <c r="F68" s="5"/>
      <c r="G68" s="5"/>
      <c r="H68" s="5"/>
      <c r="I68" s="5"/>
      <c r="J68" s="5"/>
      <c r="K68" s="20" t="str">
        <f>IF(B68&lt;&gt;"", IF(A68="Supply",VLOOKUP(B68,[1]Supply!$A:$B,2,FALSE),IF(A68="Gold",B68,IF(A68="Point",B68,IF(A68="Ball",B68,"")))),"")</f>
        <v/>
      </c>
      <c r="L68" s="39"/>
      <c r="N68" s="21" t="str">
        <f t="shared" si="21"/>
        <v/>
      </c>
      <c r="O68" s="26" t="str">
        <f t="shared" si="22"/>
        <v/>
      </c>
    </row>
    <row r="69" spans="1:15" ht="17.25" customHeight="1" thickBot="1">
      <c r="A69" s="22"/>
      <c r="B69" s="28"/>
      <c r="C69" s="22"/>
      <c r="D69" s="19" t="str">
        <f t="shared" si="19"/>
        <v/>
      </c>
      <c r="E69">
        <v>46</v>
      </c>
      <c r="F69" s="5"/>
      <c r="G69" s="5"/>
      <c r="H69" s="5"/>
      <c r="I69" s="5"/>
      <c r="J69" s="5"/>
      <c r="K69" s="20" t="str">
        <f>IF(B69&lt;&gt;"", IF(A69="Supply",VLOOKUP(B69,[1]Supply!$A:$B,2,FALSE),IF(A69="Gold",B69,IF(A69="Point",B69,IF(A69="Ball",B69,"")))),"")</f>
        <v/>
      </c>
      <c r="L69" s="39"/>
      <c r="N69" s="21" t="str">
        <f t="shared" si="21"/>
        <v/>
      </c>
      <c r="O69" s="26" t="str">
        <f t="shared" si="22"/>
        <v/>
      </c>
    </row>
    <row r="70" spans="1:15" ht="17.25" customHeight="1" thickBot="1">
      <c r="A70" s="22"/>
      <c r="B70" s="28"/>
      <c r="C70" s="22"/>
      <c r="D70" s="19" t="str">
        <f t="shared" si="19"/>
        <v/>
      </c>
      <c r="E70">
        <v>47</v>
      </c>
      <c r="F70" s="5"/>
      <c r="G70" s="5"/>
      <c r="H70" s="5"/>
      <c r="I70" s="5"/>
      <c r="J70" s="5"/>
      <c r="K70" s="20" t="str">
        <f>IF(B70&lt;&gt;"", IF(A70="Supply",VLOOKUP(B70,[1]Supply!$A:$B,2,FALSE),IF(A70="Gold",B70,IF(A70="Point",B70,IF(A70="Ball",B70,"")))),"")</f>
        <v/>
      </c>
      <c r="L70" s="39"/>
      <c r="N70" s="21" t="str">
        <f t="shared" si="21"/>
        <v/>
      </c>
      <c r="O70" s="26" t="str">
        <f t="shared" si="22"/>
        <v/>
      </c>
    </row>
    <row r="71" spans="1:15" ht="17.25" customHeight="1" thickBot="1">
      <c r="A71" s="22"/>
      <c r="B71" s="28"/>
      <c r="C71" s="22"/>
      <c r="D71" s="19" t="str">
        <f t="shared" si="19"/>
        <v/>
      </c>
      <c r="E71">
        <v>48</v>
      </c>
      <c r="F71" s="5"/>
      <c r="G71" s="5"/>
      <c r="H71" s="5"/>
      <c r="I71" s="5"/>
      <c r="J71" s="5"/>
      <c r="K71" s="20" t="str">
        <f>IF(B71&lt;&gt;"", IF(A71="Supply",VLOOKUP(B71,[1]Supply!$A:$B,2,FALSE),IF(A71="Gold",B71,IF(A71="Point",B71,IF(A71="Ball",B71,"")))),"")</f>
        <v/>
      </c>
      <c r="L71" s="39"/>
      <c r="N71" s="21" t="str">
        <f t="shared" si="21"/>
        <v/>
      </c>
      <c r="O71" s="26" t="str">
        <f t="shared" si="22"/>
        <v/>
      </c>
    </row>
    <row r="72" spans="1:15" ht="17.25" customHeight="1" thickBot="1">
      <c r="A72" s="22"/>
      <c r="B72" s="28"/>
      <c r="C72" s="22"/>
      <c r="D72" s="19" t="str">
        <f t="shared" si="19"/>
        <v/>
      </c>
      <c r="E72">
        <v>49</v>
      </c>
      <c r="F72" s="5"/>
      <c r="G72" s="5"/>
      <c r="H72" s="5"/>
      <c r="I72" s="5"/>
      <c r="J72" s="5"/>
      <c r="K72" s="20" t="str">
        <f>IF(B72&lt;&gt;"", IF(A72="Supply",VLOOKUP(B72,[1]Supply!$A:$B,2,FALSE),IF(A72="Gold",B72,IF(A72="Point",B72,IF(A72="Ball",B72,"")))),"")</f>
        <v/>
      </c>
      <c r="L72" s="39"/>
      <c r="N72" s="21"/>
      <c r="O72" s="26"/>
    </row>
    <row r="73" spans="1:15" ht="17.25" customHeight="1" thickBot="1">
      <c r="A73" s="22"/>
      <c r="B73" s="28"/>
      <c r="C73" s="22"/>
      <c r="D73" s="19" t="str">
        <f t="shared" si="19"/>
        <v/>
      </c>
      <c r="E73">
        <v>50</v>
      </c>
      <c r="F73" s="5"/>
      <c r="G73" s="5"/>
      <c r="H73" s="5"/>
      <c r="I73" s="5"/>
      <c r="J73" s="5"/>
      <c r="K73" s="20" t="str">
        <f>IF(B73&lt;&gt;"", IF(A73="Supply",VLOOKUP(B73,[1]Supply!$A:$B,2,FALSE),IF(A73="Gold",B73,IF(A73="Point",B73,IF(A73="Ball",B73,"")))),"")</f>
        <v/>
      </c>
      <c r="L73" s="39"/>
      <c r="N73" s="21"/>
      <c r="O73" s="26"/>
    </row>
    <row r="74" spans="1:15" ht="17.25" customHeight="1" thickBot="1">
      <c r="A74" s="22"/>
      <c r="B74" s="28"/>
      <c r="C74" s="22"/>
      <c r="D74" s="19" t="str">
        <f t="shared" si="19"/>
        <v/>
      </c>
      <c r="E74">
        <v>51</v>
      </c>
      <c r="F74" s="5"/>
      <c r="G74" s="5"/>
      <c r="H74" s="5"/>
      <c r="I74" s="5"/>
      <c r="J74" s="5"/>
      <c r="K74" s="20" t="str">
        <f>IF(B74&lt;&gt;"", IF(A74="Supply",VLOOKUP(B74,[1]Supply!$A:$B,2,FALSE),IF(A74="Gold",B74,IF(A74="Point",B74,IF(A74="Ball",B74,"")))),"")</f>
        <v/>
      </c>
      <c r="L74" s="39"/>
      <c r="N74" s="21"/>
      <c r="O74" s="26"/>
    </row>
    <row r="75" spans="1:15" ht="17.25" customHeight="1" thickBot="1">
      <c r="A75" s="22"/>
      <c r="B75" s="28"/>
      <c r="C75" s="22"/>
      <c r="D75" s="19" t="str">
        <f t="shared" si="19"/>
        <v/>
      </c>
      <c r="E75">
        <v>52</v>
      </c>
      <c r="F75" s="5"/>
      <c r="G75" s="5"/>
      <c r="H75" s="5"/>
      <c r="I75" s="5"/>
      <c r="J75" s="5"/>
      <c r="K75" s="20" t="str">
        <f>IF(B75&lt;&gt;"", IF(A75="Supply",VLOOKUP(B75,[1]Supply!$A:$B,2,FALSE),IF(A75="Gold",B75,IF(A75="Point",B75,IF(A75="Ball",B75,"")))),"")</f>
        <v/>
      </c>
      <c r="L75" s="39"/>
      <c r="N75" s="21"/>
      <c r="O75" s="26"/>
    </row>
    <row r="76" spans="1:15" ht="17.25" customHeight="1" thickBot="1">
      <c r="A76" s="22"/>
      <c r="B76" s="28"/>
      <c r="C76" s="22"/>
      <c r="D76" s="19" t="str">
        <f t="shared" si="19"/>
        <v/>
      </c>
      <c r="E76">
        <v>53</v>
      </c>
      <c r="F76" s="5"/>
      <c r="G76" s="5"/>
      <c r="H76" s="5"/>
      <c r="I76" s="5"/>
      <c r="J76" s="5"/>
      <c r="K76" s="20" t="str">
        <f>IF(B76&lt;&gt;"", IF(A76="Supply",VLOOKUP(B76,[1]Supply!$A:$B,2,FALSE),IF(A76="Gold",B76,IF(A76="Point",B76,IF(A76="Ball",B76,"")))),"")</f>
        <v/>
      </c>
      <c r="L76" s="39"/>
      <c r="N76" s="21"/>
      <c r="O76" s="26"/>
    </row>
    <row r="77" spans="1:15" ht="17.25" customHeight="1" thickBot="1">
      <c r="A77" s="22"/>
      <c r="B77" s="28"/>
      <c r="C77" s="22"/>
      <c r="D77" s="19" t="str">
        <f t="shared" si="19"/>
        <v/>
      </c>
      <c r="E77">
        <v>54</v>
      </c>
      <c r="F77" s="5"/>
      <c r="G77" s="5"/>
      <c r="H77" s="5"/>
      <c r="I77" s="5"/>
      <c r="J77" s="5"/>
      <c r="K77" s="20" t="str">
        <f>IF(B77&lt;&gt;"", IF(A77="Supply",VLOOKUP(B77,[1]Supply!$A:$B,2,FALSE),IF(A77="Gold",B77,IF(A77="Point",B77,IF(A77="Ball",B77,"")))),"")</f>
        <v/>
      </c>
      <c r="L77" s="39"/>
      <c r="N77" s="21"/>
      <c r="O77" s="26"/>
    </row>
    <row r="78" spans="1:15" ht="17.25" customHeight="1" thickBot="1">
      <c r="A78" s="22"/>
      <c r="B78" s="28"/>
      <c r="C78" s="22"/>
      <c r="D78" s="19" t="str">
        <f t="shared" si="19"/>
        <v/>
      </c>
      <c r="E78">
        <v>55</v>
      </c>
      <c r="F78" s="5"/>
      <c r="G78" s="5"/>
      <c r="H78" s="5"/>
      <c r="I78" s="5"/>
      <c r="J78" s="5"/>
      <c r="K78" s="20" t="str">
        <f>IF(B78&lt;&gt;"", IF(A78="Supply",VLOOKUP(B78,[1]Supply!$A:$B,2,FALSE),IF(A78="Gold",B78,IF(A78="Point",B78,IF(A78="Ball",B78,"")))),"")</f>
        <v/>
      </c>
      <c r="L78" s="39"/>
      <c r="N78" s="21"/>
      <c r="O78" s="26"/>
    </row>
    <row r="79" spans="1:15" ht="17.25" customHeight="1" thickBot="1">
      <c r="A79" s="22"/>
      <c r="B79" s="28"/>
      <c r="C79" s="22"/>
      <c r="D79" s="19" t="str">
        <f t="shared" si="19"/>
        <v/>
      </c>
      <c r="E79">
        <v>56</v>
      </c>
      <c r="F79" s="5"/>
      <c r="G79" s="5"/>
      <c r="H79" s="42"/>
      <c r="I79" s="5"/>
      <c r="J79" s="5"/>
      <c r="K79" s="20" t="str">
        <f>IF(B79&lt;&gt;"", IF(A79="Supply",VLOOKUP(B79,[1]Supply!$A:$B,2,FALSE),IF(A79="Gold",B79,IF(A79="Point",B79,IF(A79="Ball",B79,"")))),"")</f>
        <v/>
      </c>
      <c r="L79" s="5"/>
      <c r="M79" s="5"/>
      <c r="N79" s="21" t="str">
        <f t="shared" si="21"/>
        <v/>
      </c>
      <c r="O79" s="26" t="str">
        <f t="shared" ref="O79:O93" si="23" xml:space="preserve"> IF(A79&lt;&gt;"",IF(ISERROR(J79),"Error",IF(ISERROR(K79),"Error",IF(ISERROR(M79),"Error",""))),"")</f>
        <v/>
      </c>
    </row>
    <row r="80" spans="1:15" ht="17.25" customHeight="1" thickBot="1">
      <c r="A80" s="22"/>
      <c r="B80" s="28"/>
      <c r="C80" s="22"/>
      <c r="D80" s="19" t="str">
        <f t="shared" si="19"/>
        <v/>
      </c>
      <c r="E80">
        <v>57</v>
      </c>
      <c r="F80" s="5"/>
      <c r="G80" s="5"/>
      <c r="H80" s="42"/>
      <c r="I80" s="5"/>
      <c r="J80" s="5"/>
      <c r="K80" s="20" t="str">
        <f>IF(B80&lt;&gt;"", IF(A80="Supply",VLOOKUP(B80,[1]Supply!$A:$B,2,FALSE),IF(A80="Gold",B80,IF(A80="Point",B80,IF(A80="Ball",B80,"")))),"")</f>
        <v/>
      </c>
      <c r="N80" s="21"/>
      <c r="O80" s="26"/>
    </row>
    <row r="81" spans="1:15" ht="17.25" customHeight="1" thickBot="1">
      <c r="A81" s="22"/>
      <c r="B81" s="28"/>
      <c r="C81" s="22"/>
      <c r="D81" s="19" t="str">
        <f t="shared" si="19"/>
        <v/>
      </c>
      <c r="E81">
        <v>58</v>
      </c>
      <c r="F81" s="35"/>
      <c r="G81" s="5"/>
      <c r="H81" s="42"/>
      <c r="I81" s="35"/>
      <c r="J81" s="43"/>
      <c r="K81" s="20" t="str">
        <f>IF(B81&lt;&gt;"", IF(A81="Supply",VLOOKUP(B81,[1]Supply!$A:$B,2,FALSE),IF(A81="Gold",B81,IF(A81="Point",B81,IF(A81="Ball",B81,"")))),"")</f>
        <v/>
      </c>
      <c r="N81" s="21"/>
      <c r="O81" s="26"/>
    </row>
    <row r="82" spans="1:15" ht="17.25" customHeight="1" thickBot="1">
      <c r="A82" s="22"/>
      <c r="B82" s="28"/>
      <c r="C82" s="22"/>
      <c r="D82" s="19" t="str">
        <f t="shared" si="19"/>
        <v/>
      </c>
      <c r="E82">
        <v>59</v>
      </c>
      <c r="F82" s="35"/>
      <c r="G82" s="5"/>
      <c r="H82" s="42"/>
      <c r="I82" s="35"/>
      <c r="J82" s="43"/>
      <c r="K82" s="20" t="str">
        <f>IF(B82&lt;&gt;"", IF(A82="Supply",VLOOKUP(B82,[1]Supply!$A:$B,2,FALSE),IF(A82="Gold",B82,IF(A82="Point",B82,IF(A82="Ball",B82,"")))),"")</f>
        <v/>
      </c>
      <c r="N82" s="21"/>
      <c r="O82" s="26"/>
    </row>
    <row r="83" spans="1:15" ht="17.25" customHeight="1" thickBot="1">
      <c r="A83" s="22"/>
      <c r="B83" s="28"/>
      <c r="C83" s="22"/>
      <c r="D83" s="19" t="str">
        <f t="shared" si="19"/>
        <v/>
      </c>
      <c r="E83">
        <v>60</v>
      </c>
      <c r="F83" s="35"/>
      <c r="G83" s="5"/>
      <c r="H83" s="42"/>
      <c r="I83" s="35"/>
      <c r="J83" s="43"/>
      <c r="K83" s="20" t="str">
        <f>IF(B83&lt;&gt;"", IF(A83="Supply",VLOOKUP(B83,[1]Supply!$A:$B,2,FALSE),IF(A83="Gold",B83,IF(A83="Point",B83,IF(A83="Ball",B83,"")))),"")</f>
        <v/>
      </c>
      <c r="L83" s="5"/>
      <c r="M83" s="5"/>
      <c r="N83" s="21"/>
      <c r="O83" s="26"/>
    </row>
    <row r="84" spans="1:15" ht="17.25" customHeight="1" thickBot="1">
      <c r="A84" s="22"/>
      <c r="B84" s="28"/>
      <c r="C84" s="22"/>
      <c r="D84" s="19" t="str">
        <f t="shared" si="19"/>
        <v/>
      </c>
      <c r="E84">
        <v>61</v>
      </c>
      <c r="F84" s="35"/>
      <c r="G84" s="5"/>
      <c r="H84" s="42"/>
      <c r="I84" s="35"/>
      <c r="J84" s="43"/>
      <c r="K84" s="20" t="str">
        <f>IF(B84&lt;&gt;"", IF(A84="Supply",VLOOKUP(B84,[1]Supply!$A:$B,2,FALSE),IF(A84="Gold",B84,IF(A84="Point",B84,IF(A84="Ball",B84,"")))),"")</f>
        <v/>
      </c>
      <c r="L84" s="5"/>
      <c r="M84" s="5"/>
      <c r="N84" s="21"/>
      <c r="O84" s="26"/>
    </row>
    <row r="85" spans="1:15" ht="17.25" customHeight="1" thickBot="1">
      <c r="A85" s="22"/>
      <c r="B85" s="28"/>
      <c r="C85" s="22"/>
      <c r="D85" s="19" t="str">
        <f t="shared" si="19"/>
        <v/>
      </c>
      <c r="E85">
        <v>62</v>
      </c>
      <c r="F85" s="35"/>
      <c r="G85" s="5"/>
      <c r="H85" s="42"/>
      <c r="I85" s="35"/>
      <c r="J85" s="43"/>
      <c r="K85" s="20" t="str">
        <f>IF(B85&lt;&gt;"", IF(A85="Supply",VLOOKUP(B85,[1]Supply!$A:$B,2,FALSE),IF(A85="Gold",B85,IF(A85="Point",B85,IF(A85="Ball",B85,"")))),"")</f>
        <v/>
      </c>
      <c r="L85" s="5"/>
      <c r="M85" s="5"/>
      <c r="N85" s="21"/>
      <c r="O85" s="26"/>
    </row>
    <row r="86" spans="1:15" ht="17.25" customHeight="1" thickBot="1">
      <c r="A86" s="22"/>
      <c r="B86" s="28"/>
      <c r="C86" s="22"/>
      <c r="D86" s="19" t="str">
        <f t="shared" si="19"/>
        <v/>
      </c>
      <c r="E86">
        <v>63</v>
      </c>
      <c r="F86" s="35"/>
      <c r="G86" s="5"/>
      <c r="H86" s="42"/>
      <c r="I86" s="35"/>
      <c r="J86" s="43"/>
      <c r="K86" s="20" t="str">
        <f>IF(B86&lt;&gt;"", IF(A86="Supply",VLOOKUP(B86,[1]Supply!$A:$B,2,FALSE),IF(A86="Gold",B86,IF(A86="Point",B86,IF(A86="Ball",B86,"")))),"")</f>
        <v/>
      </c>
      <c r="L86" s="5"/>
      <c r="M86" s="5"/>
      <c r="N86" s="21"/>
      <c r="O86" s="26"/>
    </row>
    <row r="87" spans="1:15" ht="17.25" customHeight="1" thickBot="1">
      <c r="A87" s="22"/>
      <c r="B87" s="28"/>
      <c r="C87" s="22"/>
      <c r="D87" s="19" t="str">
        <f t="shared" si="19"/>
        <v/>
      </c>
      <c r="E87">
        <v>64</v>
      </c>
      <c r="F87" s="35"/>
      <c r="G87" s="5"/>
      <c r="H87" s="42"/>
      <c r="I87" s="35"/>
      <c r="J87" s="43"/>
      <c r="K87" s="20" t="str">
        <f>IF(B87&lt;&gt;"", IF(A87="Supply",VLOOKUP(B87,[1]Supply!$A:$B,2,FALSE),IF(A87="Gold",B87,IF(A87="Point",B87,IF(A87="Ball",B87,"")))),"")</f>
        <v/>
      </c>
      <c r="L87" s="5"/>
      <c r="M87" s="5"/>
      <c r="N87" s="21"/>
      <c r="O87" s="26"/>
    </row>
    <row r="88" spans="1:15" ht="17.25" customHeight="1" thickBot="1">
      <c r="A88" s="22"/>
      <c r="B88" s="28"/>
      <c r="C88" s="22"/>
      <c r="D88" s="19" t="str">
        <f t="shared" si="19"/>
        <v/>
      </c>
      <c r="E88">
        <v>65</v>
      </c>
      <c r="F88" s="35"/>
      <c r="G88" s="5"/>
      <c r="H88" s="42"/>
      <c r="I88" s="35"/>
      <c r="J88" s="43"/>
      <c r="K88" s="20" t="str">
        <f>IF(B88&lt;&gt;"", IF(A88="Supply",VLOOKUP(B88,[1]Supply!$A:$B,2,FALSE),IF(A88="Gold",B88,IF(A88="Point",B88,IF(A88="Ball",B88,"")))),"")</f>
        <v/>
      </c>
      <c r="L88" s="5"/>
      <c r="M88" s="5"/>
      <c r="N88" s="21"/>
      <c r="O88" s="26"/>
    </row>
    <row r="89" spans="1:15" ht="17.25" customHeight="1" thickBot="1">
      <c r="A89" s="22"/>
      <c r="B89" s="28"/>
      <c r="C89" s="22"/>
      <c r="D89" s="19" t="str">
        <f t="shared" ref="D89:D152" si="24">IF($A$20="Random",IF(C89&lt;&gt;"",C89/$C$22,""),"把A20改成Random")</f>
        <v/>
      </c>
      <c r="E89">
        <v>66</v>
      </c>
      <c r="F89" s="35"/>
      <c r="G89" s="5"/>
      <c r="H89" s="42"/>
      <c r="I89" s="35"/>
      <c r="J89" s="43"/>
      <c r="K89" s="20" t="str">
        <f>IF(B89&lt;&gt;"", IF(A89="Supply",VLOOKUP(B89,[1]Supply!$A:$B,2,FALSE),IF(A89="Gold",B89,IF(A89="Point",B89,IF(A89="Ball",B89,"")))),"")</f>
        <v/>
      </c>
      <c r="L89" s="5"/>
      <c r="M89" s="5"/>
      <c r="N89" s="21"/>
      <c r="O89" s="26"/>
    </row>
    <row r="90" spans="1:15" ht="17.25" customHeight="1" thickBot="1">
      <c r="A90" s="22"/>
      <c r="B90" s="28"/>
      <c r="C90" s="22"/>
      <c r="D90" s="19" t="str">
        <f t="shared" si="24"/>
        <v/>
      </c>
      <c r="E90">
        <v>67</v>
      </c>
      <c r="F90" s="35"/>
      <c r="G90" s="5"/>
      <c r="H90" s="42"/>
      <c r="I90" s="35"/>
      <c r="J90" s="43"/>
      <c r="K90" s="20" t="str">
        <f>IF(B90&lt;&gt;"", IF(A90="Supply",VLOOKUP(B90,[1]Supply!$A:$B,2,FALSE),IF(A90="Gold",B90,IF(A90="Point",B90,IF(A90="Ball",B90,"")))),"")</f>
        <v/>
      </c>
      <c r="L90" s="5"/>
      <c r="M90" s="5"/>
      <c r="N90" s="21"/>
      <c r="O90" s="26"/>
    </row>
    <row r="91" spans="1:15" ht="17.25" customHeight="1" thickBot="1">
      <c r="A91" s="22"/>
      <c r="B91" s="28"/>
      <c r="C91" s="22"/>
      <c r="D91" s="19" t="str">
        <f t="shared" si="24"/>
        <v/>
      </c>
      <c r="E91">
        <v>68</v>
      </c>
      <c r="F91" s="35"/>
      <c r="G91" s="5"/>
      <c r="H91" s="42"/>
      <c r="I91" s="35"/>
      <c r="J91" s="43"/>
      <c r="K91" s="20" t="str">
        <f>IF(B91&lt;&gt;"", IF(A91="Supply",VLOOKUP(B91,[1]Supply!$A:$B,2,FALSE),IF(A91="Gold",B91,IF(A91="Point",B91,IF(A91="Ball",B91,"")))),"")</f>
        <v/>
      </c>
      <c r="L91" s="5"/>
      <c r="M91" s="5"/>
      <c r="N91" s="21"/>
      <c r="O91" s="26"/>
    </row>
    <row r="92" spans="1:15" ht="17.25" customHeight="1" thickBot="1">
      <c r="A92" s="22"/>
      <c r="B92" s="28"/>
      <c r="C92" s="22"/>
      <c r="D92" s="19" t="str">
        <f t="shared" si="24"/>
        <v/>
      </c>
      <c r="E92">
        <v>69</v>
      </c>
      <c r="F92" s="35"/>
      <c r="G92" s="5"/>
      <c r="H92" s="42"/>
      <c r="I92" s="35"/>
      <c r="J92" s="43"/>
      <c r="K92" s="20" t="str">
        <f>IF(B92&lt;&gt;"", IF(A92="Supply",VLOOKUP(B92,[1]Supply!$A:$B,2,FALSE),IF(A92="Gold",B92,IF(A92="Point",B92,IF(A92="Ball",B92,"")))),"")</f>
        <v/>
      </c>
      <c r="L92" s="5"/>
      <c r="M92" s="5"/>
      <c r="N92" s="21" t="str">
        <f t="shared" si="21"/>
        <v/>
      </c>
      <c r="O92" s="26" t="str">
        <f t="shared" si="23"/>
        <v/>
      </c>
    </row>
    <row r="93" spans="1:15" ht="17.25" customHeight="1" thickBot="1">
      <c r="A93" s="22"/>
      <c r="B93" s="28"/>
      <c r="C93" s="22"/>
      <c r="D93" s="19" t="str">
        <f t="shared" si="24"/>
        <v/>
      </c>
      <c r="E93">
        <v>70</v>
      </c>
      <c r="F93" s="35"/>
      <c r="G93" s="5"/>
      <c r="H93" s="42"/>
      <c r="I93" s="35"/>
      <c r="J93" s="43"/>
      <c r="K93" s="20" t="str">
        <f>IF(B93&lt;&gt;"", IF(A93="Supply",VLOOKUP(B93,[1]Supply!$A:$B,2,FALSE),IF(A93="Gold",B93,IF(A93="Point",B93,IF(A93="Ball",B93,"")))),"")</f>
        <v/>
      </c>
      <c r="L93" s="5"/>
      <c r="M93" s="5"/>
      <c r="N93" s="21" t="str">
        <f t="shared" si="21"/>
        <v/>
      </c>
      <c r="O93" s="26" t="str">
        <f t="shared" si="23"/>
        <v/>
      </c>
    </row>
    <row r="94" spans="1:15" ht="17.25" customHeight="1" thickBot="1">
      <c r="A94" s="22"/>
      <c r="B94" s="28"/>
      <c r="C94" s="22"/>
      <c r="D94" s="19" t="str">
        <f t="shared" si="24"/>
        <v/>
      </c>
      <c r="E94">
        <v>71</v>
      </c>
      <c r="F94" s="35"/>
      <c r="G94" s="5"/>
      <c r="H94" s="42"/>
      <c r="I94" s="35"/>
      <c r="J94" s="43"/>
      <c r="K94" s="20" t="str">
        <f>IF(B94&lt;&gt;"", IF(A94="Supply",VLOOKUP(B94,[1]Supply!$A:$B,2,FALSE),IF(A94="Gold",B94,IF(A94="Point",B94,IF(A94="Ball",B94,"")))),"")</f>
        <v/>
      </c>
      <c r="L94" s="5"/>
      <c r="M94" s="5"/>
      <c r="N94" s="21"/>
      <c r="O94" s="26"/>
    </row>
    <row r="95" spans="1:15" ht="17.25" customHeight="1" thickBot="1">
      <c r="A95" s="22"/>
      <c r="B95" s="28"/>
      <c r="C95" s="22"/>
      <c r="D95" s="19" t="str">
        <f t="shared" si="24"/>
        <v/>
      </c>
      <c r="E95">
        <v>72</v>
      </c>
      <c r="F95" s="35"/>
      <c r="G95" s="5"/>
      <c r="H95" s="42"/>
      <c r="I95" s="35"/>
      <c r="J95" s="43"/>
      <c r="K95" s="20" t="str">
        <f>IF(B95&lt;&gt;"", IF(A95="Supply",VLOOKUP(B95,[1]Supply!$A:$B,2,FALSE),IF(A95="Gold",B95,IF(A95="Point",B95,IF(A95="Ball",B95,"")))),"")</f>
        <v/>
      </c>
      <c r="L95" s="5"/>
      <c r="N95" s="21"/>
      <c r="O95" s="26"/>
    </row>
    <row r="96" spans="1:15" ht="17.25" customHeight="1" thickBot="1">
      <c r="A96" s="22"/>
      <c r="B96" s="28"/>
      <c r="C96" s="22"/>
      <c r="D96" s="19" t="str">
        <f t="shared" si="24"/>
        <v/>
      </c>
      <c r="E96">
        <v>73</v>
      </c>
      <c r="F96" s="41"/>
      <c r="G96" s="41"/>
      <c r="H96" s="41"/>
      <c r="I96" s="41"/>
      <c r="J96" s="41"/>
      <c r="K96" s="20" t="str">
        <f>IF(B96&lt;&gt;"", IF(A96="Supply",VLOOKUP(B96,[1]Supply!$A:$B,2,FALSE),IF(A96="Gold",B96,IF(A96="Point",B96,IF(A96="Ball",B96,"")))),"")</f>
        <v/>
      </c>
      <c r="L96" s="5"/>
      <c r="N96" s="21"/>
      <c r="O96" s="26"/>
    </row>
    <row r="97" spans="1:15" ht="17.25" customHeight="1" thickBot="1">
      <c r="A97" s="22"/>
      <c r="B97" s="28"/>
      <c r="C97" s="22"/>
      <c r="D97" s="19" t="str">
        <f t="shared" si="24"/>
        <v/>
      </c>
      <c r="E97">
        <v>74</v>
      </c>
      <c r="F97" s="41"/>
      <c r="G97" s="41"/>
      <c r="H97" s="41"/>
      <c r="I97" s="41"/>
      <c r="J97" s="41"/>
      <c r="K97" s="20" t="str">
        <f>IF(B97&lt;&gt;"", IF(A97="Supply",VLOOKUP(B97,[1]Supply!$A:$B,2,FALSE),IF(A97="Gold",B97,IF(A97="Point",B97,IF(A97="Ball",B97,"")))),"")</f>
        <v/>
      </c>
      <c r="L97" s="5"/>
      <c r="N97" s="21"/>
      <c r="O97" s="26"/>
    </row>
    <row r="98" spans="1:15" ht="17.25" customHeight="1" thickBot="1">
      <c r="A98" s="22"/>
      <c r="B98" s="28"/>
      <c r="C98" s="22"/>
      <c r="D98" s="19" t="str">
        <f t="shared" si="24"/>
        <v/>
      </c>
      <c r="E98">
        <v>75</v>
      </c>
      <c r="F98" s="41"/>
      <c r="G98" s="41"/>
      <c r="H98" s="41"/>
      <c r="I98" s="41"/>
      <c r="J98" s="41"/>
      <c r="K98" s="20" t="str">
        <f>IF(B98&lt;&gt;"", IF(A98="Supply",VLOOKUP(B98,[1]Supply!$A:$B,2,FALSE),IF(A98="Gold",B98,IF(A98="Point",B98,IF(A98="Ball",B98,"")))),"")</f>
        <v/>
      </c>
      <c r="L98" s="5"/>
      <c r="N98" s="21"/>
      <c r="O98" s="26"/>
    </row>
    <row r="99" spans="1:15" ht="17.25" customHeight="1" thickBot="1">
      <c r="A99" s="22"/>
      <c r="B99" s="28"/>
      <c r="C99" s="22"/>
      <c r="D99" s="19" t="str">
        <f t="shared" si="24"/>
        <v/>
      </c>
      <c r="E99">
        <v>76</v>
      </c>
      <c r="F99" s="41"/>
      <c r="G99" s="41"/>
      <c r="H99" s="41"/>
      <c r="I99" s="41"/>
      <c r="J99" s="41"/>
      <c r="K99" s="20" t="str">
        <f>IF(B99&lt;&gt;"", IF(A99="Supply",VLOOKUP(B99,[1]Supply!$A:$B,2,FALSE),IF(A99="Gold",B99,IF(A99="Point",B99,IF(A99="Ball",B99,"")))),"")</f>
        <v/>
      </c>
      <c r="L99" s="5"/>
      <c r="N99" s="21"/>
      <c r="O99" s="26"/>
    </row>
    <row r="100" spans="1:15" ht="17.25" customHeight="1" thickBot="1">
      <c r="A100" s="22"/>
      <c r="B100" s="28"/>
      <c r="C100" s="22"/>
      <c r="D100" s="19" t="str">
        <f t="shared" si="24"/>
        <v/>
      </c>
      <c r="E100">
        <v>77</v>
      </c>
      <c r="F100" s="5"/>
      <c r="G100" s="5"/>
      <c r="H100" s="5"/>
      <c r="I100" s="5"/>
      <c r="J100" s="5"/>
      <c r="K100" s="20" t="str">
        <f>IF(B100&lt;&gt;"", IF(A100="Supply",VLOOKUP(B100,[1]Supply!$A:$B,2,FALSE),IF(A100="Gold",B100,IF(A100="Point",B100,IF(A100="Ball",B100,"")))),"")</f>
        <v/>
      </c>
      <c r="L100" s="5"/>
      <c r="N100" s="21"/>
      <c r="O100" s="26"/>
    </row>
    <row r="101" spans="1:15" ht="17.25" customHeight="1" thickBot="1">
      <c r="A101" s="22"/>
      <c r="B101" s="28"/>
      <c r="C101" s="22"/>
      <c r="D101" s="19" t="str">
        <f t="shared" si="24"/>
        <v/>
      </c>
      <c r="E101">
        <v>78</v>
      </c>
      <c r="F101" s="5"/>
      <c r="G101" s="5"/>
      <c r="H101" s="5"/>
      <c r="I101" s="5"/>
      <c r="J101" s="5"/>
      <c r="K101" s="20" t="str">
        <f>IF(B101&lt;&gt;"", IF(A101="Supply",VLOOKUP(B101,[1]Supply!$A:$B,2,FALSE),IF(A101="Gold",B101,IF(A101="Point",B101,IF(A101="Ball",B101,"")))),"")</f>
        <v/>
      </c>
      <c r="L101" s="5"/>
      <c r="N101" s="21"/>
      <c r="O101" s="26"/>
    </row>
    <row r="102" spans="1:15" ht="17.25" customHeight="1" thickBot="1">
      <c r="A102" s="22"/>
      <c r="B102" s="28"/>
      <c r="C102" s="22"/>
      <c r="D102" s="19" t="str">
        <f t="shared" si="24"/>
        <v/>
      </c>
      <c r="E102">
        <v>79</v>
      </c>
      <c r="F102" s="5"/>
      <c r="G102" s="5"/>
      <c r="H102" s="5"/>
      <c r="I102" s="5"/>
      <c r="J102" s="5"/>
      <c r="K102" s="20" t="str">
        <f>IF(B102&lt;&gt;"", IF(A102="Supply",VLOOKUP(B102,[1]Supply!$A:$B,2,FALSE),IF(A102="Gold",B102,IF(A102="Point",B102,IF(A102="Ball",B102,"")))),"")</f>
        <v/>
      </c>
      <c r="L102" s="5"/>
      <c r="N102" s="21"/>
      <c r="O102" s="26"/>
    </row>
    <row r="103" spans="1:15" ht="17.25" customHeight="1" thickBot="1">
      <c r="A103" s="22"/>
      <c r="B103" s="28"/>
      <c r="C103" s="22"/>
      <c r="D103" s="19" t="str">
        <f t="shared" si="24"/>
        <v/>
      </c>
      <c r="E103">
        <v>80</v>
      </c>
      <c r="F103" s="5"/>
      <c r="G103" s="5"/>
      <c r="H103" s="5"/>
      <c r="I103" s="5"/>
      <c r="J103" s="5"/>
      <c r="K103" s="20" t="str">
        <f>IF(B103&lt;&gt;"", IF(A103="Supply",VLOOKUP(B103,[1]Supply!$A:$B,2,FALSE),IF(A103="Gold",B103,IF(A103="Point",B103,IF(A103="Ball",B103,"")))),"")</f>
        <v/>
      </c>
      <c r="L103" s="5"/>
      <c r="N103" s="21" t="str">
        <f t="shared" ref="N103:N116" si="25">IF(A103&lt;&gt;"",IF(AND( $A$20="Random", OR( $C103&lt;=0,$C103="")),"Error",""),"")</f>
        <v/>
      </c>
      <c r="O103" s="26" t="str">
        <f xml:space="preserve"> IF(A103&lt;&gt;"",IF(ISERROR(#REF!),"Error",IF(ISERROR(K103),"Error",IF(ISERROR(M103),"Error",""))),"")</f>
        <v/>
      </c>
    </row>
    <row r="104" spans="1:15" ht="17.25" customHeight="1" thickBot="1">
      <c r="A104" s="22"/>
      <c r="B104" s="28"/>
      <c r="C104" s="22"/>
      <c r="D104" s="19" t="str">
        <f t="shared" si="24"/>
        <v/>
      </c>
      <c r="E104">
        <v>81</v>
      </c>
      <c r="F104" s="5"/>
      <c r="G104" s="5"/>
      <c r="H104" s="5"/>
      <c r="I104" s="5"/>
      <c r="J104" s="5"/>
      <c r="K104" s="20" t="str">
        <f>IF(B104&lt;&gt;"", IF(A104="Supply",VLOOKUP(B104,[1]Supply!$A:$B,2,FALSE),IF(A104="Gold",B104,IF(A104="Point",B104,IF(A104="Ball",B104,"")))),"")</f>
        <v/>
      </c>
      <c r="L104" s="5"/>
      <c r="N104" s="21" t="str">
        <f t="shared" si="25"/>
        <v/>
      </c>
      <c r="O104" s="26" t="str">
        <f xml:space="preserve"> IF(A104&lt;&gt;"",IF(ISERROR(#REF!),"Error",IF(ISERROR(K104),"Error",IF(ISERROR(M104),"Error",""))),"")</f>
        <v/>
      </c>
    </row>
    <row r="105" spans="1:15" ht="17.25" customHeight="1" thickBot="1">
      <c r="A105" s="22"/>
      <c r="B105" s="28"/>
      <c r="C105" s="22"/>
      <c r="D105" s="19" t="str">
        <f t="shared" si="24"/>
        <v/>
      </c>
      <c r="E105">
        <v>82</v>
      </c>
      <c r="F105" s="5"/>
      <c r="G105" s="5"/>
      <c r="H105" s="5"/>
      <c r="I105" s="5"/>
      <c r="J105" s="5"/>
      <c r="K105" s="20" t="str">
        <f>IF(B105&lt;&gt;"", IF(A105="Supply",VLOOKUP(B105,[1]Supply!$A:$B,2,FALSE),IF(A105="Gold",B105,IF(A105="Point",B105,IF(A105="Ball",B105,"")))),"")</f>
        <v/>
      </c>
      <c r="L105" s="5"/>
      <c r="N105" s="21" t="str">
        <f t="shared" si="25"/>
        <v/>
      </c>
      <c r="O105" s="26" t="str">
        <f xml:space="preserve"> IF(A105&lt;&gt;"",IF(ISERROR(#REF!),"Error",IF(ISERROR(K105),"Error",IF(ISERROR(M105),"Error",""))),"")</f>
        <v/>
      </c>
    </row>
    <row r="106" spans="1:15" ht="17.25" customHeight="1" thickBot="1">
      <c r="A106" s="22"/>
      <c r="B106" s="28"/>
      <c r="C106" s="22"/>
      <c r="D106" s="19" t="str">
        <f t="shared" si="24"/>
        <v/>
      </c>
      <c r="E106">
        <v>83</v>
      </c>
      <c r="F106" s="5"/>
      <c r="G106" s="5"/>
      <c r="H106" s="5"/>
      <c r="I106" s="5"/>
      <c r="J106" s="5"/>
      <c r="K106" s="20" t="str">
        <f>IF(B106&lt;&gt;"", IF(A106="Supply",VLOOKUP(B106,[1]Supply!$A:$B,2,FALSE),IF(A106="Gold",B106,IF(A106="Point",B106,IF(A106="Ball",B106,"")))),"")</f>
        <v/>
      </c>
      <c r="L106" s="5"/>
      <c r="N106" s="21" t="str">
        <f t="shared" si="25"/>
        <v/>
      </c>
      <c r="O106" s="26" t="str">
        <f xml:space="preserve"> IF(A106&lt;&gt;"",IF(ISERROR(#REF!),"Error",IF(ISERROR(K106),"Error",IF(ISERROR(M106),"Error",""))),"")</f>
        <v/>
      </c>
    </row>
    <row r="107" spans="1:15" ht="17.25" customHeight="1" thickBot="1">
      <c r="A107" s="22"/>
      <c r="B107" s="28"/>
      <c r="C107" s="22"/>
      <c r="D107" s="19" t="str">
        <f t="shared" si="24"/>
        <v/>
      </c>
      <c r="E107">
        <v>84</v>
      </c>
      <c r="F107" s="5"/>
      <c r="G107" s="5"/>
      <c r="H107" s="5"/>
      <c r="I107" s="5"/>
      <c r="J107" s="5"/>
      <c r="K107" s="20" t="str">
        <f>IF(B107&lt;&gt;"", IF(A107="Supply",VLOOKUP(B107,[1]Supply!$A:$B,2,FALSE),IF(A107="Gold",B107,IF(A107="Point",B107,IF(A107="Ball",B107,"")))),"")</f>
        <v/>
      </c>
      <c r="L107" s="5"/>
      <c r="N107" s="21" t="str">
        <f t="shared" si="25"/>
        <v/>
      </c>
      <c r="O107" s="26" t="str">
        <f xml:space="preserve"> IF(A107&lt;&gt;"",IF(ISERROR(#REF!),"Error",IF(ISERROR(K107),"Error",IF(ISERROR(M107),"Error",""))),"")</f>
        <v/>
      </c>
    </row>
    <row r="108" spans="1:15" ht="17.25" customHeight="1" thickBot="1">
      <c r="A108" s="22"/>
      <c r="B108" s="28"/>
      <c r="C108" s="22"/>
      <c r="D108" s="19" t="str">
        <f t="shared" si="24"/>
        <v/>
      </c>
      <c r="E108">
        <v>85</v>
      </c>
      <c r="F108" s="5"/>
      <c r="G108" s="5"/>
      <c r="H108" s="5"/>
      <c r="I108" s="5"/>
      <c r="J108" s="5"/>
      <c r="K108" s="20" t="str">
        <f>IF(B108&lt;&gt;"", IF(A108="Supply",VLOOKUP(B108,[1]Supply!$A:$B,2,FALSE),IF(A108="Gold",B108,IF(A108="Point",B108,IF(A108="Ball",B108,"")))),"")</f>
        <v/>
      </c>
      <c r="L108" s="5"/>
      <c r="N108" s="21" t="str">
        <f t="shared" si="25"/>
        <v/>
      </c>
      <c r="O108" s="26" t="str">
        <f xml:space="preserve"> IF(A108&lt;&gt;"",IF(ISERROR(#REF!),"Error",IF(ISERROR(K108),"Error",IF(ISERROR(M108),"Error",""))),"")</f>
        <v/>
      </c>
    </row>
    <row r="109" spans="1:15" ht="17.25" customHeight="1" thickBot="1">
      <c r="A109" s="22"/>
      <c r="B109" s="28"/>
      <c r="C109" s="22"/>
      <c r="D109" s="19" t="str">
        <f t="shared" si="24"/>
        <v/>
      </c>
      <c r="E109">
        <v>86</v>
      </c>
      <c r="F109" s="5"/>
      <c r="G109" s="5"/>
      <c r="H109" s="5"/>
      <c r="I109" s="5"/>
      <c r="J109" s="5"/>
      <c r="K109" s="20" t="str">
        <f>IF(B109&lt;&gt;"", IF(A109="Supply",VLOOKUP(B109,[1]Supply!$A:$B,2,FALSE),IF(A109="Gold",B109,IF(A109="Point",B109,IF(A109="Ball",B109,"")))),"")</f>
        <v/>
      </c>
      <c r="L109" s="5"/>
      <c r="N109" s="21" t="str">
        <f t="shared" si="25"/>
        <v/>
      </c>
      <c r="O109" s="26" t="str">
        <f xml:space="preserve"> IF(A109&lt;&gt;"",IF(ISERROR(#REF!),"Error",IF(ISERROR(K109),"Error",IF(ISERROR(M109),"Error",""))),"")</f>
        <v/>
      </c>
    </row>
    <row r="110" spans="1:15" ht="17.25" customHeight="1" thickBot="1">
      <c r="A110" s="22"/>
      <c r="B110" s="28"/>
      <c r="C110" s="22"/>
      <c r="D110" s="19" t="str">
        <f t="shared" si="24"/>
        <v/>
      </c>
      <c r="E110">
        <v>87</v>
      </c>
      <c r="F110" s="5"/>
      <c r="G110" s="5"/>
      <c r="H110" s="5"/>
      <c r="I110" s="5"/>
      <c r="J110" s="5"/>
      <c r="K110" s="20" t="str">
        <f>IF(B110&lt;&gt;"", IF(A110="Supply",VLOOKUP(B110,[1]Supply!$A:$B,2,FALSE),IF(A110="Gold",B110,IF(A110="Point",B110,IF(A110="Ball",B110,"")))),"")</f>
        <v/>
      </c>
      <c r="L110" s="5"/>
      <c r="N110" s="21" t="str">
        <f t="shared" si="25"/>
        <v/>
      </c>
      <c r="O110" s="26" t="str">
        <f xml:space="preserve"> IF(A110&lt;&gt;"",IF(ISERROR(#REF!),"Error",IF(ISERROR(K110),"Error",IF(ISERROR(M110),"Error",""))),"")</f>
        <v/>
      </c>
    </row>
    <row r="111" spans="1:15" ht="17.25" customHeight="1" thickBot="1">
      <c r="A111" s="22"/>
      <c r="B111" s="28"/>
      <c r="C111" s="22"/>
      <c r="D111" s="19" t="str">
        <f t="shared" si="24"/>
        <v/>
      </c>
      <c r="E111">
        <v>88</v>
      </c>
      <c r="F111" s="5"/>
      <c r="G111" s="5"/>
      <c r="H111" s="5"/>
      <c r="I111" s="5"/>
      <c r="J111" s="5"/>
      <c r="K111" s="20" t="str">
        <f>IF(B111&lt;&gt;"", IF(A111="Supply",VLOOKUP(B111,[1]Supply!$A:$B,2,FALSE),IF(A111="Gold",B111,IF(A111="Point",B111,IF(A111="Ball",B111,"")))),"")</f>
        <v/>
      </c>
      <c r="L111" s="5"/>
      <c r="N111" s="21" t="str">
        <f t="shared" si="25"/>
        <v/>
      </c>
      <c r="O111" s="26" t="str">
        <f xml:space="preserve"> IF(A111&lt;&gt;"",IF(ISERROR(#REF!),"Error",IF(ISERROR(K111),"Error",IF(ISERROR(M111),"Error",""))),"")</f>
        <v/>
      </c>
    </row>
    <row r="112" spans="1:15" ht="17.25" customHeight="1" thickBot="1">
      <c r="A112" s="22"/>
      <c r="B112" s="28"/>
      <c r="C112" s="22"/>
      <c r="D112" s="19" t="str">
        <f t="shared" si="24"/>
        <v/>
      </c>
      <c r="E112">
        <v>89</v>
      </c>
      <c r="F112" s="5"/>
      <c r="G112" s="5"/>
      <c r="H112" s="5"/>
      <c r="I112" s="5"/>
      <c r="J112" s="5"/>
      <c r="K112" s="20" t="str">
        <f>IF(B112&lt;&gt;"", IF(A112="Supply",VLOOKUP(B112,[1]Supply!$A:$B,2,FALSE),IF(A112="Gold",B112,IF(A112="Point",B112,IF(A112="Ball",B112,"")))),"")</f>
        <v/>
      </c>
      <c r="L112" s="5"/>
      <c r="N112" s="21" t="str">
        <f t="shared" si="25"/>
        <v/>
      </c>
      <c r="O112" s="26" t="str">
        <f t="shared" ref="O112:O116" si="26" xml:space="preserve"> IF(A112&lt;&gt;"",IF(ISERROR(J112),"Error",IF(ISERROR(K112),"Error",IF(ISERROR(M112),"Error",""))),"")</f>
        <v/>
      </c>
    </row>
    <row r="113" spans="1:15" ht="17.25" customHeight="1" thickBot="1">
      <c r="A113" s="22"/>
      <c r="B113" s="28"/>
      <c r="C113" s="22"/>
      <c r="D113" s="19" t="str">
        <f t="shared" si="24"/>
        <v/>
      </c>
      <c r="E113">
        <v>90</v>
      </c>
      <c r="F113" s="5"/>
      <c r="G113" s="5"/>
      <c r="H113" s="5"/>
      <c r="I113" s="5"/>
      <c r="J113" s="5"/>
      <c r="K113" s="20" t="str">
        <f>IF(B113&lt;&gt;"", IF(A113="Supply",VLOOKUP(B113,[1]Supply!$A:$B,2,FALSE),IF(A113="Gold",B113,IF(A113="Point",B113,IF(A113="Ball",B113,"")))),"")</f>
        <v/>
      </c>
      <c r="L113" s="5" t="str">
        <f t="shared" ref="L113:L152" si="27">IF(D113&lt;&gt;"",TEXT(D113,"0.0%"),"")</f>
        <v/>
      </c>
      <c r="M113" t="str">
        <f t="shared" ref="M113:M152" si="28">IF(J113&lt;&gt;"",IF(ISERROR(K113)=FALSE,J113&amp;":"&amp;K113&amp;" ("&amp;L113&amp;")","Error"),"")</f>
        <v/>
      </c>
      <c r="N113" s="21" t="str">
        <f t="shared" si="25"/>
        <v/>
      </c>
      <c r="O113" s="26" t="str">
        <f t="shared" si="26"/>
        <v/>
      </c>
    </row>
    <row r="114" spans="1:15" ht="17.25" customHeight="1" thickBot="1">
      <c r="A114" s="22"/>
      <c r="B114" s="28"/>
      <c r="C114" s="22"/>
      <c r="D114" s="19" t="str">
        <f t="shared" si="24"/>
        <v/>
      </c>
      <c r="E114">
        <v>91</v>
      </c>
      <c r="F114" s="5"/>
      <c r="G114" s="5"/>
      <c r="H114" s="5"/>
      <c r="I114" s="5"/>
      <c r="J114" s="5"/>
      <c r="K114" s="20" t="str">
        <f>IF(B114&lt;&gt;"", IF(A114="Supply",VLOOKUP(B114,[1]Supply!$A:$B,2,FALSE),IF(A114="Gold",B114,IF(A114="Point",B114,IF(A114="Ball",B114,"")))),"")</f>
        <v/>
      </c>
      <c r="L114" s="5" t="str">
        <f t="shared" si="27"/>
        <v/>
      </c>
      <c r="M114" t="str">
        <f t="shared" si="28"/>
        <v/>
      </c>
      <c r="N114" s="21" t="str">
        <f t="shared" si="25"/>
        <v/>
      </c>
      <c r="O114" s="26" t="str">
        <f t="shared" si="26"/>
        <v/>
      </c>
    </row>
    <row r="115" spans="1:15" ht="17.25" customHeight="1" thickBot="1">
      <c r="A115" s="22"/>
      <c r="B115" s="28"/>
      <c r="C115" s="22"/>
      <c r="D115" s="19" t="str">
        <f t="shared" si="24"/>
        <v/>
      </c>
      <c r="E115">
        <v>92</v>
      </c>
      <c r="F115" s="5"/>
      <c r="G115" s="5"/>
      <c r="H115" s="5"/>
      <c r="I115" s="5"/>
      <c r="J115" s="5"/>
      <c r="K115" s="20" t="str">
        <f>IF(B115&lt;&gt;"", IF(A115="Supply",VLOOKUP(B115,[1]Supply!$A:$B,2,FALSE),IF(A115="Gold",B115,IF(A115="Point",B115,IF(A115="Ball",B115,"")))),"")</f>
        <v/>
      </c>
      <c r="L115" s="5" t="str">
        <f t="shared" si="27"/>
        <v/>
      </c>
      <c r="N115" s="21" t="str">
        <f t="shared" si="25"/>
        <v/>
      </c>
      <c r="O115" s="26" t="str">
        <f t="shared" si="26"/>
        <v/>
      </c>
    </row>
    <row r="116" spans="1:15" ht="17.25" customHeight="1" thickBot="1">
      <c r="A116" s="22"/>
      <c r="B116" s="28"/>
      <c r="C116" s="22"/>
      <c r="D116" s="19" t="str">
        <f t="shared" si="24"/>
        <v/>
      </c>
      <c r="E116">
        <v>93</v>
      </c>
      <c r="F116" s="5"/>
      <c r="G116" s="5"/>
      <c r="H116" s="5"/>
      <c r="I116" s="5"/>
      <c r="J116" s="5"/>
      <c r="K116" s="20" t="str">
        <f>IF(B116&lt;&gt;"", IF(A116="Supply",VLOOKUP(B116,[1]Supply!$A:$B,2,FALSE),IF(A116="Gold",B116,IF(A116="Point",B116,IF(A116="Ball",B116,"")))),"")</f>
        <v/>
      </c>
      <c r="L116" s="5" t="str">
        <f t="shared" si="27"/>
        <v/>
      </c>
      <c r="N116" s="21" t="str">
        <f t="shared" si="25"/>
        <v/>
      </c>
      <c r="O116" s="26" t="str">
        <f t="shared" si="26"/>
        <v/>
      </c>
    </row>
    <row r="117" spans="1:15" ht="17.25" customHeight="1" thickBot="1">
      <c r="A117" s="22"/>
      <c r="B117" s="28"/>
      <c r="C117" s="22"/>
      <c r="D117" s="19" t="str">
        <f t="shared" si="24"/>
        <v/>
      </c>
      <c r="E117">
        <v>94</v>
      </c>
      <c r="F117" s="5"/>
      <c r="G117" s="5"/>
      <c r="H117" s="5"/>
      <c r="I117" s="5"/>
      <c r="J117" s="5"/>
      <c r="K117" s="20" t="str">
        <f>IF(B117&lt;&gt;"", IF(A117="Supply",VLOOKUP(B117,[1]Supply!$A:$B,2,FALSE),IF(A117="Gold",B117,IF(A117="Point",B117,IF(A117="Ball",B117,"")))),"")</f>
        <v/>
      </c>
      <c r="L117" s="5" t="str">
        <f t="shared" si="27"/>
        <v/>
      </c>
      <c r="N117" s="21" t="str">
        <f t="shared" ref="N117:N178" si="29">IF(A117&lt;&gt;"",IF(AND( $A$20="Random", OR( $C117&lt;=0,$C117="")),"Error",""),"")</f>
        <v/>
      </c>
      <c r="O117" s="26" t="str">
        <f t="shared" ref="O117:O178" si="30" xml:space="preserve"> IF(A117&lt;&gt;"",IF(ISERROR(J117),"Error",IF(ISERROR(K117),"Error",IF(ISERROR(M117),"Error",""))),"")</f>
        <v/>
      </c>
    </row>
    <row r="118" spans="1:15" ht="17.25" customHeight="1" thickBot="1">
      <c r="A118" s="22"/>
      <c r="B118" s="28"/>
      <c r="C118" s="22"/>
      <c r="D118" s="19" t="str">
        <f t="shared" si="24"/>
        <v/>
      </c>
      <c r="E118">
        <v>95</v>
      </c>
      <c r="F118" s="5"/>
      <c r="G118" s="5"/>
      <c r="H118" s="5"/>
      <c r="I118" s="5"/>
      <c r="J118" s="5"/>
      <c r="K118" s="20" t="str">
        <f>IF(B118&lt;&gt;"", IF(A118="Supply",VLOOKUP(B118,[1]Supply!$A:$B,2,FALSE),IF(A118="Gold",B118,IF(A118="Point",B118,IF(A118="Ball",B118,"")))),"")</f>
        <v/>
      </c>
      <c r="L118" s="5" t="str">
        <f t="shared" si="27"/>
        <v/>
      </c>
      <c r="N118" s="21" t="str">
        <f t="shared" si="29"/>
        <v/>
      </c>
      <c r="O118" s="26" t="str">
        <f t="shared" si="30"/>
        <v/>
      </c>
    </row>
    <row r="119" spans="1:15" ht="17.25" customHeight="1" thickBot="1">
      <c r="A119" s="22"/>
      <c r="B119" s="28"/>
      <c r="C119" s="22"/>
      <c r="D119" s="19" t="str">
        <f t="shared" si="24"/>
        <v/>
      </c>
      <c r="E119">
        <v>96</v>
      </c>
      <c r="F119" s="5"/>
      <c r="G119" s="5"/>
      <c r="H119" s="5"/>
      <c r="I119" s="5"/>
      <c r="J119" s="5"/>
      <c r="K119" s="20" t="str">
        <f>IF(B119&lt;&gt;"", IF(A119="Supply",VLOOKUP(B119,[1]Supply!$A:$B,2,FALSE),IF(A119="Gold",B119,IF(A119="Point",B119,IF(A119="Ball",B119,"")))),"")</f>
        <v/>
      </c>
      <c r="L119" s="5" t="str">
        <f t="shared" si="27"/>
        <v/>
      </c>
      <c r="N119" s="21" t="str">
        <f t="shared" si="29"/>
        <v/>
      </c>
      <c r="O119" s="26" t="str">
        <f t="shared" si="30"/>
        <v/>
      </c>
    </row>
    <row r="120" spans="1:15" ht="17.25" customHeight="1" thickBot="1">
      <c r="A120" s="22"/>
      <c r="B120" s="28"/>
      <c r="C120" s="22"/>
      <c r="D120" s="19" t="str">
        <f t="shared" si="24"/>
        <v/>
      </c>
      <c r="E120">
        <v>97</v>
      </c>
      <c r="F120" s="5"/>
      <c r="G120" s="5"/>
      <c r="H120" s="5"/>
      <c r="I120" s="5"/>
      <c r="J120" s="5"/>
      <c r="K120" s="20" t="str">
        <f>IF(B120&lt;&gt;"", IF(A120="Supply",VLOOKUP(B120,[1]Supply!$A:$B,2,FALSE),IF(A120="Gold",B120,IF(A120="Point",B120,IF(A120="Ball",B120,"")))),"")</f>
        <v/>
      </c>
      <c r="L120" s="5" t="str">
        <f t="shared" si="27"/>
        <v/>
      </c>
      <c r="N120" s="21" t="str">
        <f t="shared" si="29"/>
        <v/>
      </c>
      <c r="O120" s="26" t="str">
        <f t="shared" si="30"/>
        <v/>
      </c>
    </row>
    <row r="121" spans="1:15" ht="17.25" customHeight="1" thickBot="1">
      <c r="A121" s="22"/>
      <c r="B121" s="28"/>
      <c r="C121" s="22"/>
      <c r="D121" s="19" t="str">
        <f t="shared" si="24"/>
        <v/>
      </c>
      <c r="E121">
        <v>98</v>
      </c>
      <c r="F121" s="5"/>
      <c r="G121" s="5"/>
      <c r="H121" s="5"/>
      <c r="I121" s="5"/>
      <c r="J121" s="5"/>
      <c r="K121" s="20" t="str">
        <f>IF(B121&lt;&gt;"", IF(A121="Supply",VLOOKUP(B121,[1]Supply!$A:$B,2,FALSE),IF(A121="Gold",B121,IF(A121="Point",B121,IF(A121="Ball",B121,"")))),"")</f>
        <v/>
      </c>
      <c r="L121" s="5" t="str">
        <f t="shared" si="27"/>
        <v/>
      </c>
      <c r="N121" s="21" t="str">
        <f t="shared" si="29"/>
        <v/>
      </c>
      <c r="O121" s="26" t="str">
        <f t="shared" si="30"/>
        <v/>
      </c>
    </row>
    <row r="122" spans="1:15" ht="17.25" customHeight="1" thickBot="1">
      <c r="A122" s="22"/>
      <c r="B122" s="28"/>
      <c r="C122" s="22"/>
      <c r="D122" s="19" t="str">
        <f t="shared" si="24"/>
        <v/>
      </c>
      <c r="E122">
        <v>99</v>
      </c>
      <c r="F122" s="5"/>
      <c r="G122" s="5"/>
      <c r="H122" s="5"/>
      <c r="I122" s="5"/>
      <c r="J122" s="5"/>
      <c r="K122" s="20" t="str">
        <f>IF(B122&lt;&gt;"", IF(A122="Supply",VLOOKUP(B122,[1]Supply!$A:$B,2,FALSE),IF(A122="Gold",B122,IF(A122="Point",B122,IF(A122="Ball",B122,"")))),"")</f>
        <v/>
      </c>
      <c r="L122" s="5" t="str">
        <f t="shared" si="27"/>
        <v/>
      </c>
      <c r="N122" s="21" t="str">
        <f t="shared" si="29"/>
        <v/>
      </c>
      <c r="O122" s="26" t="str">
        <f t="shared" si="30"/>
        <v/>
      </c>
    </row>
    <row r="123" spans="1:15" ht="17.25" customHeight="1" thickBot="1">
      <c r="A123" s="22"/>
      <c r="B123" s="28"/>
      <c r="C123" s="22"/>
      <c r="D123" s="19" t="str">
        <f t="shared" si="24"/>
        <v/>
      </c>
      <c r="E123">
        <v>100</v>
      </c>
      <c r="F123" s="5"/>
      <c r="G123" s="5"/>
      <c r="H123" s="5"/>
      <c r="I123" s="5"/>
      <c r="J123" s="5"/>
      <c r="K123" s="20" t="str">
        <f>IF(B123&lt;&gt;"", IF(A123="Supply",VLOOKUP(B123,[1]Supply!$A:$B,2,FALSE),IF(A123="Gold",B123,IF(A123="Point",B123,IF(A123="Ball",B123,"")))),"")</f>
        <v/>
      </c>
      <c r="L123" s="5" t="str">
        <f t="shared" si="27"/>
        <v/>
      </c>
      <c r="N123" s="21" t="str">
        <f t="shared" si="29"/>
        <v/>
      </c>
      <c r="O123" s="26" t="str">
        <f t="shared" si="30"/>
        <v/>
      </c>
    </row>
    <row r="124" spans="1:15" ht="17.25" customHeight="1" thickBot="1">
      <c r="A124" s="22"/>
      <c r="B124" s="28"/>
      <c r="C124" s="22"/>
      <c r="D124" s="19" t="str">
        <f t="shared" si="24"/>
        <v/>
      </c>
      <c r="E124">
        <v>101</v>
      </c>
      <c r="F124" s="5"/>
      <c r="G124" s="5"/>
      <c r="H124" s="5"/>
      <c r="I124" s="5"/>
      <c r="J124" s="5"/>
      <c r="K124" s="20" t="str">
        <f>IF(B124&lt;&gt;"", IF(A124="Supply",VLOOKUP(B124,[1]Supply!$A:$B,2,FALSE),IF(A124="Gold",B124,IF(A124="Point",B124,IF(A124="Ball",B124,"")))),"")</f>
        <v/>
      </c>
      <c r="L124" s="5" t="str">
        <f t="shared" si="27"/>
        <v/>
      </c>
      <c r="N124" s="21" t="str">
        <f t="shared" si="29"/>
        <v/>
      </c>
      <c r="O124" s="26" t="str">
        <f t="shared" si="30"/>
        <v/>
      </c>
    </row>
    <row r="125" spans="1:15" ht="17.25" customHeight="1" thickBot="1">
      <c r="A125" s="22"/>
      <c r="B125" s="28"/>
      <c r="C125" s="22"/>
      <c r="D125" s="19" t="str">
        <f t="shared" si="24"/>
        <v/>
      </c>
      <c r="E125">
        <v>102</v>
      </c>
      <c r="F125" s="5"/>
      <c r="G125" s="5"/>
      <c r="H125" s="5"/>
      <c r="I125" s="5"/>
      <c r="J125" s="5"/>
      <c r="K125" s="20" t="str">
        <f>IF(B125&lt;&gt;"", IF(A125="Supply",VLOOKUP(B125,[1]Supply!$A:$B,2,FALSE),IF(A125="Gold",B125,IF(A125="Point",B125,IF(A125="Ball",B125,"")))),"")</f>
        <v/>
      </c>
      <c r="L125" s="5" t="str">
        <f t="shared" si="27"/>
        <v/>
      </c>
      <c r="N125" s="21" t="str">
        <f t="shared" si="29"/>
        <v/>
      </c>
      <c r="O125" s="26" t="str">
        <f t="shared" si="30"/>
        <v/>
      </c>
    </row>
    <row r="126" spans="1:15" ht="17.25" customHeight="1" thickBot="1">
      <c r="A126" s="22"/>
      <c r="B126" s="28"/>
      <c r="C126" s="22"/>
      <c r="D126" s="19" t="str">
        <f t="shared" si="24"/>
        <v/>
      </c>
      <c r="E126">
        <v>103</v>
      </c>
      <c r="F126" s="5"/>
      <c r="G126" s="5"/>
      <c r="H126" s="5"/>
      <c r="I126" s="5"/>
      <c r="J126" s="5"/>
      <c r="K126" s="20" t="str">
        <f>IF(B126&lt;&gt;"", IF(A126="Supply",VLOOKUP(B126,[1]Supply!$A:$B,2,FALSE),IF(A126="Gold",B126,IF(A126="Point",B126,IF(A126="Ball",B126,"")))),"")</f>
        <v/>
      </c>
      <c r="L126" s="5" t="str">
        <f t="shared" si="27"/>
        <v/>
      </c>
      <c r="N126" s="21" t="str">
        <f t="shared" si="29"/>
        <v/>
      </c>
      <c r="O126" s="26" t="str">
        <f t="shared" si="30"/>
        <v/>
      </c>
    </row>
    <row r="127" spans="1:15" ht="17.25" customHeight="1" thickBot="1">
      <c r="A127" s="22"/>
      <c r="B127" s="28"/>
      <c r="C127" s="22"/>
      <c r="D127" s="19" t="str">
        <f t="shared" si="24"/>
        <v/>
      </c>
      <c r="E127">
        <v>104</v>
      </c>
      <c r="F127" s="5"/>
      <c r="G127" s="5"/>
      <c r="H127" s="5"/>
      <c r="I127" s="5"/>
      <c r="J127" s="5"/>
      <c r="K127" s="20" t="str">
        <f>IF(B127&lt;&gt;"", IF(A127="Supply",VLOOKUP(B127,[1]Supply!$A:$B,2,FALSE),IF(A127="Gold",B127,IF(A127="Point",B127,IF(A127="Ball",B127,"")))),"")</f>
        <v/>
      </c>
      <c r="L127" s="5" t="str">
        <f t="shared" si="27"/>
        <v/>
      </c>
      <c r="N127" s="21" t="str">
        <f t="shared" si="29"/>
        <v/>
      </c>
      <c r="O127" s="26" t="str">
        <f t="shared" si="30"/>
        <v/>
      </c>
    </row>
    <row r="128" spans="1:15" ht="17.25" customHeight="1" thickBot="1">
      <c r="A128" s="22"/>
      <c r="B128" s="28"/>
      <c r="C128" s="22"/>
      <c r="D128" s="19" t="str">
        <f t="shared" si="24"/>
        <v/>
      </c>
      <c r="E128">
        <v>105</v>
      </c>
      <c r="F128" s="5"/>
      <c r="G128" s="5"/>
      <c r="H128" s="5"/>
      <c r="I128" s="5"/>
      <c r="J128" s="5"/>
      <c r="K128" s="20" t="str">
        <f>IF(B128&lt;&gt;"", IF(A128="Supply",VLOOKUP(B128,[1]Supply!$A:$B,2,FALSE),IF(A128="Gold",B128,IF(A128="Point",B128,IF(A128="Ball",B128,"")))),"")</f>
        <v/>
      </c>
      <c r="L128" s="5" t="str">
        <f t="shared" si="27"/>
        <v/>
      </c>
      <c r="N128" s="21" t="str">
        <f t="shared" si="29"/>
        <v/>
      </c>
      <c r="O128" s="26" t="str">
        <f t="shared" si="30"/>
        <v/>
      </c>
    </row>
    <row r="129" spans="1:15" ht="17.25" customHeight="1" thickBot="1">
      <c r="A129" s="22"/>
      <c r="B129" s="28"/>
      <c r="C129" s="22"/>
      <c r="D129" s="19" t="str">
        <f t="shared" si="24"/>
        <v/>
      </c>
      <c r="E129">
        <v>106</v>
      </c>
      <c r="F129" s="5"/>
      <c r="G129" s="5"/>
      <c r="H129" s="5"/>
      <c r="I129" s="5"/>
      <c r="J129" s="5"/>
      <c r="K129" s="20" t="str">
        <f>IF(B129&lt;&gt;"", IF(A129="Supply",VLOOKUP(B129,[1]Supply!$A:$B,2,FALSE),IF(A129="Gold",B129,IF(A129="Point",B129,IF(A129="Ball",B129,"")))),"")</f>
        <v/>
      </c>
      <c r="L129" s="5" t="str">
        <f t="shared" si="27"/>
        <v/>
      </c>
      <c r="N129" s="21" t="str">
        <f t="shared" si="29"/>
        <v/>
      </c>
      <c r="O129" s="26" t="str">
        <f t="shared" si="30"/>
        <v/>
      </c>
    </row>
    <row r="130" spans="1:15" ht="17.25" customHeight="1" thickBot="1">
      <c r="A130" s="22"/>
      <c r="B130" s="28"/>
      <c r="C130" s="22"/>
      <c r="D130" s="19" t="str">
        <f t="shared" si="24"/>
        <v/>
      </c>
      <c r="E130">
        <v>107</v>
      </c>
      <c r="F130" s="5"/>
      <c r="G130" s="5"/>
      <c r="H130" s="5"/>
      <c r="I130" s="5"/>
      <c r="J130" s="5"/>
      <c r="K130" s="20" t="str">
        <f>IF(B130&lt;&gt;"", IF(A130="Supply",VLOOKUP(B130,[1]Supply!$A:$B,2,FALSE),IF(A130="Gold",B130,IF(A130="Point",B130,IF(A130="Ball",B130,"")))),"")</f>
        <v/>
      </c>
      <c r="L130" s="5" t="str">
        <f t="shared" si="27"/>
        <v/>
      </c>
      <c r="N130" s="21" t="str">
        <f t="shared" si="29"/>
        <v/>
      </c>
      <c r="O130" s="26" t="str">
        <f t="shared" si="30"/>
        <v/>
      </c>
    </row>
    <row r="131" spans="1:15" ht="17.25" customHeight="1" thickBot="1">
      <c r="A131" s="22"/>
      <c r="B131" s="28"/>
      <c r="C131" s="22"/>
      <c r="D131" s="19" t="str">
        <f t="shared" si="24"/>
        <v/>
      </c>
      <c r="E131">
        <v>108</v>
      </c>
      <c r="F131" s="5"/>
      <c r="G131" s="5"/>
      <c r="H131" s="5"/>
      <c r="I131" s="5"/>
      <c r="J131" s="5"/>
      <c r="K131" s="20" t="str">
        <f>IF(B131&lt;&gt;"", IF(A131="Supply",VLOOKUP(B131,[1]Supply!$A:$B,2,FALSE),IF(A131="Gold",B131,IF(A131="Point",B131,IF(A131="Ball",B131,"")))),"")</f>
        <v/>
      </c>
      <c r="L131" s="5" t="str">
        <f t="shared" si="27"/>
        <v/>
      </c>
      <c r="M131" t="str">
        <f t="shared" si="28"/>
        <v/>
      </c>
      <c r="N131" s="21" t="str">
        <f t="shared" si="29"/>
        <v/>
      </c>
      <c r="O131" s="26" t="str">
        <f t="shared" si="30"/>
        <v/>
      </c>
    </row>
    <row r="132" spans="1:15" ht="17.25" customHeight="1" thickBot="1">
      <c r="A132" s="22"/>
      <c r="B132" s="28"/>
      <c r="C132" s="22"/>
      <c r="D132" s="19" t="str">
        <f t="shared" si="24"/>
        <v/>
      </c>
      <c r="E132">
        <v>109</v>
      </c>
      <c r="F132" s="5"/>
      <c r="G132" s="5"/>
      <c r="H132" s="5"/>
      <c r="I132" s="5"/>
      <c r="J132" s="5"/>
      <c r="K132" s="20" t="str">
        <f>IF(B132&lt;&gt;"", IF(A132="Supply",VLOOKUP(B132,[1]Supply!$A:$B,2,FALSE),IF(A132="Gold",B132,IF(A132="Point",B132,IF(A132="Ball",B132,"")))),"")</f>
        <v/>
      </c>
      <c r="L132" s="5" t="str">
        <f t="shared" si="27"/>
        <v/>
      </c>
      <c r="M132" t="str">
        <f t="shared" si="28"/>
        <v/>
      </c>
      <c r="N132" s="21" t="str">
        <f t="shared" si="29"/>
        <v/>
      </c>
      <c r="O132" s="26" t="str">
        <f t="shared" si="30"/>
        <v/>
      </c>
    </row>
    <row r="133" spans="1:15" ht="17.25" customHeight="1" thickBot="1">
      <c r="A133" s="22"/>
      <c r="B133" s="28"/>
      <c r="C133" s="22"/>
      <c r="D133" s="19" t="str">
        <f t="shared" si="24"/>
        <v/>
      </c>
      <c r="E133">
        <v>110</v>
      </c>
      <c r="F133" s="5"/>
      <c r="G133" s="5"/>
      <c r="H133" s="5"/>
      <c r="I133" s="5"/>
      <c r="J133" s="5"/>
      <c r="K133" s="20" t="str">
        <f>IF(B133&lt;&gt;"", IF(A133="Supply",VLOOKUP(B133,[1]Supply!$A:$B,2,FALSE),IF(A133="Gold",B133,IF(A133="Point",B133,IF(A133="Ball",B133,"")))),"")</f>
        <v/>
      </c>
      <c r="L133" s="5" t="str">
        <f t="shared" si="27"/>
        <v/>
      </c>
      <c r="M133" t="str">
        <f t="shared" si="28"/>
        <v/>
      </c>
      <c r="N133" s="21" t="str">
        <f t="shared" si="29"/>
        <v/>
      </c>
      <c r="O133" s="26" t="str">
        <f t="shared" si="30"/>
        <v/>
      </c>
    </row>
    <row r="134" spans="1:15" ht="17.25" customHeight="1" thickBot="1">
      <c r="A134" s="22"/>
      <c r="B134" s="28"/>
      <c r="C134" s="22"/>
      <c r="D134" s="19" t="str">
        <f t="shared" si="24"/>
        <v/>
      </c>
      <c r="E134">
        <v>111</v>
      </c>
      <c r="J134" s="5" t="str">
        <f>IF(A134&lt;&gt;"",VLOOKUP(A134,Setting!A$11:B$50,2,FALSE),"")</f>
        <v/>
      </c>
      <c r="K134" s="20" t="str">
        <f>IF(B134&lt;&gt;"", IF(A134="Supply",VLOOKUP(B134,[1]Supply!$A:$B,2,FALSE),IF(A134="Gold",B134,IF(A134="Point",B134,IF(A134="Ball",B134,"")))),"")</f>
        <v/>
      </c>
      <c r="L134" s="5" t="str">
        <f t="shared" si="27"/>
        <v/>
      </c>
      <c r="M134" t="str">
        <f t="shared" si="28"/>
        <v/>
      </c>
      <c r="N134" s="21" t="str">
        <f t="shared" si="29"/>
        <v/>
      </c>
      <c r="O134" s="26" t="str">
        <f t="shared" si="30"/>
        <v/>
      </c>
    </row>
    <row r="135" spans="1:15" ht="17.25" customHeight="1" thickBot="1">
      <c r="A135" s="22"/>
      <c r="B135" s="28"/>
      <c r="C135" s="22"/>
      <c r="D135" s="19" t="str">
        <f t="shared" si="24"/>
        <v/>
      </c>
      <c r="E135">
        <v>112</v>
      </c>
      <c r="J135" s="5" t="str">
        <f>IF(A135&lt;&gt;"",VLOOKUP(A135,Setting!A$11:B$50,2,FALSE),"")</f>
        <v/>
      </c>
      <c r="K135" s="20" t="str">
        <f>IF(B135&lt;&gt;"", IF(A135="Supply",VLOOKUP(B135,[1]Supply!$A:$B,2,FALSE),IF(A135="Gold",B135,IF(A135="Point",B135,IF(A135="Ball",B135,"")))),"")</f>
        <v/>
      </c>
      <c r="L135" s="5" t="str">
        <f t="shared" si="27"/>
        <v/>
      </c>
      <c r="M135" t="str">
        <f t="shared" si="28"/>
        <v/>
      </c>
      <c r="N135" s="21" t="str">
        <f t="shared" si="29"/>
        <v/>
      </c>
      <c r="O135" s="26" t="str">
        <f t="shared" si="30"/>
        <v/>
      </c>
    </row>
    <row r="136" spans="1:15" ht="17.25" customHeight="1" thickBot="1">
      <c r="A136" s="22"/>
      <c r="B136" s="28"/>
      <c r="C136" s="22"/>
      <c r="D136" s="19" t="str">
        <f t="shared" si="24"/>
        <v/>
      </c>
      <c r="E136">
        <v>113</v>
      </c>
      <c r="J136" s="5" t="str">
        <f>IF(A136&lt;&gt;"",VLOOKUP(A136,Setting!A$11:B$50,2,FALSE),"")</f>
        <v/>
      </c>
      <c r="K136" s="20" t="str">
        <f>IF(B136&lt;&gt;"", IF(A136="Supply",VLOOKUP(B136,[1]Supply!$A:$B,2,FALSE),IF(A136="Gold",B136,IF(A136="Point",B136,IF(A136="Ball",B136,"")))),"")</f>
        <v/>
      </c>
      <c r="L136" s="5" t="str">
        <f t="shared" si="27"/>
        <v/>
      </c>
      <c r="M136" t="str">
        <f t="shared" si="28"/>
        <v/>
      </c>
      <c r="N136" s="21" t="str">
        <f t="shared" si="29"/>
        <v/>
      </c>
      <c r="O136" s="26" t="str">
        <f t="shared" si="30"/>
        <v/>
      </c>
    </row>
    <row r="137" spans="1:15" ht="17.25" customHeight="1" thickBot="1">
      <c r="A137" s="22"/>
      <c r="B137" s="28"/>
      <c r="C137" s="22"/>
      <c r="D137" s="19" t="str">
        <f t="shared" si="24"/>
        <v/>
      </c>
      <c r="E137">
        <v>114</v>
      </c>
      <c r="J137" s="5" t="str">
        <f>IF(A137&lt;&gt;"",VLOOKUP(A137,Setting!A$11:B$50,2,FALSE),"")</f>
        <v/>
      </c>
      <c r="K137" s="20" t="str">
        <f>IF(B137&lt;&gt;"", IF(A137="Supply",VLOOKUP(B137,[1]Supply!$A:$B,2,FALSE),IF(A137="Gold",B137,IF(A137="Point",B137,IF(A137="Ball",B137,"")))),"")</f>
        <v/>
      </c>
      <c r="L137" s="5" t="str">
        <f t="shared" si="27"/>
        <v/>
      </c>
      <c r="M137" t="str">
        <f t="shared" si="28"/>
        <v/>
      </c>
      <c r="N137" s="21" t="str">
        <f t="shared" si="29"/>
        <v/>
      </c>
      <c r="O137" s="26" t="str">
        <f t="shared" si="30"/>
        <v/>
      </c>
    </row>
    <row r="138" spans="1:15" ht="17.25" customHeight="1" thickBot="1">
      <c r="A138" s="22"/>
      <c r="B138" s="28"/>
      <c r="C138" s="22"/>
      <c r="D138" s="19" t="str">
        <f t="shared" si="24"/>
        <v/>
      </c>
      <c r="E138">
        <v>115</v>
      </c>
      <c r="J138" s="5" t="str">
        <f>IF(A138&lt;&gt;"",VLOOKUP(A138,Setting!A$11:B$50,2,FALSE),"")</f>
        <v/>
      </c>
      <c r="K138" s="20" t="str">
        <f>IF(B138&lt;&gt;"", IF(A138="Supply",VLOOKUP(B138,[1]Supply!$A:$B,2,FALSE),IF(A138="Gold",B138,IF(A138="Point",B138,IF(A138="Ball",B138,"")))),"")</f>
        <v/>
      </c>
      <c r="L138" s="5" t="str">
        <f t="shared" si="27"/>
        <v/>
      </c>
      <c r="M138" t="str">
        <f t="shared" si="28"/>
        <v/>
      </c>
      <c r="N138" s="21" t="str">
        <f t="shared" si="29"/>
        <v/>
      </c>
      <c r="O138" s="26" t="str">
        <f t="shared" si="30"/>
        <v/>
      </c>
    </row>
    <row r="139" spans="1:15" ht="17.25" customHeight="1" thickBot="1">
      <c r="A139" s="22"/>
      <c r="B139" s="28"/>
      <c r="C139" s="22"/>
      <c r="D139" s="19" t="str">
        <f t="shared" si="24"/>
        <v/>
      </c>
      <c r="E139">
        <v>116</v>
      </c>
      <c r="J139" s="5" t="str">
        <f>IF(A139&lt;&gt;"",VLOOKUP(A139,Setting!A$11:B$50,2,FALSE),"")</f>
        <v/>
      </c>
      <c r="K139" s="20" t="str">
        <f>IF(B139&lt;&gt;"", IF(A139="Supply",VLOOKUP(B139,[1]Supply!$A:$B,2,FALSE),IF(A139="Gold",B139,IF(A139="Point",B139,IF(A139="Ball",B139,"")))),"")</f>
        <v/>
      </c>
      <c r="L139" s="5" t="str">
        <f t="shared" si="27"/>
        <v/>
      </c>
      <c r="M139" t="str">
        <f t="shared" si="28"/>
        <v/>
      </c>
      <c r="N139" s="21" t="str">
        <f t="shared" si="29"/>
        <v/>
      </c>
      <c r="O139" s="26" t="str">
        <f t="shared" si="30"/>
        <v/>
      </c>
    </row>
    <row r="140" spans="1:15" ht="17.25" customHeight="1" thickBot="1">
      <c r="A140" s="22"/>
      <c r="B140" s="28"/>
      <c r="C140" s="22"/>
      <c r="D140" s="19" t="str">
        <f t="shared" si="24"/>
        <v/>
      </c>
      <c r="E140">
        <v>117</v>
      </c>
      <c r="J140" s="5" t="str">
        <f>IF(A140&lt;&gt;"",VLOOKUP(A140,Setting!A$11:B$50,2,FALSE),"")</f>
        <v/>
      </c>
      <c r="K140" s="20" t="str">
        <f>IF(B140&lt;&gt;"", IF(A140="Supply",VLOOKUP(B140,[1]Supply!$A:$B,2,FALSE),IF(A140="Gold",B140,IF(A140="Point",B140,IF(A140="Ball",B140,"")))),"")</f>
        <v/>
      </c>
      <c r="L140" s="5" t="str">
        <f t="shared" si="27"/>
        <v/>
      </c>
      <c r="M140" t="str">
        <f t="shared" si="28"/>
        <v/>
      </c>
      <c r="N140" s="21" t="str">
        <f t="shared" si="29"/>
        <v/>
      </c>
      <c r="O140" s="26" t="str">
        <f t="shared" si="30"/>
        <v/>
      </c>
    </row>
    <row r="141" spans="1:15" ht="17.25" customHeight="1" thickBot="1">
      <c r="A141" s="22"/>
      <c r="B141" s="28"/>
      <c r="C141" s="22"/>
      <c r="D141" s="19" t="str">
        <f t="shared" si="24"/>
        <v/>
      </c>
      <c r="E141">
        <v>118</v>
      </c>
      <c r="J141" s="5" t="str">
        <f>IF(A141&lt;&gt;"",VLOOKUP(A141,Setting!A$11:B$50,2,FALSE),"")</f>
        <v/>
      </c>
      <c r="K141" s="20" t="str">
        <f>IF(B141&lt;&gt;"", IF(A141="Supply",VLOOKUP(B141,[1]Supply!$A:$B,2,FALSE),IF(A141="Gold",B141,IF(A141="Point",B141,IF(A141="Ball",B141,"")))),"")</f>
        <v/>
      </c>
      <c r="L141" s="5" t="str">
        <f t="shared" si="27"/>
        <v/>
      </c>
      <c r="M141" t="str">
        <f t="shared" si="28"/>
        <v/>
      </c>
      <c r="N141" s="21" t="str">
        <f t="shared" si="29"/>
        <v/>
      </c>
      <c r="O141" s="26" t="str">
        <f t="shared" si="30"/>
        <v/>
      </c>
    </row>
    <row r="142" spans="1:15" ht="17.25" customHeight="1" thickBot="1">
      <c r="A142" s="22"/>
      <c r="B142" s="28"/>
      <c r="C142" s="22"/>
      <c r="D142" s="19" t="str">
        <f t="shared" si="24"/>
        <v/>
      </c>
      <c r="E142">
        <v>119</v>
      </c>
      <c r="J142" s="5" t="str">
        <f>IF(A142&lt;&gt;"",VLOOKUP(A142,Setting!A$11:B$50,2,FALSE),"")</f>
        <v/>
      </c>
      <c r="K142" s="20" t="str">
        <f>IF(B142&lt;&gt;"", IF(A142="Supply",VLOOKUP(B142,[1]Supply!$A:$B,2,FALSE),IF(A142="Gold",B142,IF(A142="Point",B142,IF(A142="Ball",B142,"")))),"")</f>
        <v/>
      </c>
      <c r="L142" s="5" t="str">
        <f t="shared" si="27"/>
        <v/>
      </c>
      <c r="M142" t="str">
        <f t="shared" si="28"/>
        <v/>
      </c>
      <c r="N142" s="21" t="str">
        <f t="shared" si="29"/>
        <v/>
      </c>
      <c r="O142" s="26" t="str">
        <f t="shared" si="30"/>
        <v/>
      </c>
    </row>
    <row r="143" spans="1:15" ht="17.25" customHeight="1" thickBot="1">
      <c r="A143" s="22"/>
      <c r="B143" s="28"/>
      <c r="C143" s="22"/>
      <c r="D143" s="19" t="str">
        <f t="shared" si="24"/>
        <v/>
      </c>
      <c r="E143">
        <v>120</v>
      </c>
      <c r="J143" s="5" t="str">
        <f>IF(A143&lt;&gt;"",VLOOKUP(A143,Setting!A$11:B$50,2,FALSE),"")</f>
        <v/>
      </c>
      <c r="K143" s="20" t="str">
        <f>IF(B143&lt;&gt;"", IF(A143="Supply",VLOOKUP(B143,[1]Supply!$A:$B,2,FALSE),IF(A143="Gold",B143,IF(A143="Point",B143,IF(A143="Ball",B143,"")))),"")</f>
        <v/>
      </c>
      <c r="L143" s="5" t="str">
        <f t="shared" si="27"/>
        <v/>
      </c>
      <c r="M143" t="str">
        <f t="shared" si="28"/>
        <v/>
      </c>
      <c r="N143" s="21" t="str">
        <f t="shared" si="29"/>
        <v/>
      </c>
      <c r="O143" s="26" t="str">
        <f t="shared" si="30"/>
        <v/>
      </c>
    </row>
    <row r="144" spans="1:15" ht="17.25" customHeight="1" thickBot="1">
      <c r="A144" s="22"/>
      <c r="B144" s="28"/>
      <c r="C144" s="22"/>
      <c r="D144" s="19" t="str">
        <f t="shared" si="24"/>
        <v/>
      </c>
      <c r="E144">
        <v>121</v>
      </c>
      <c r="J144" s="5" t="str">
        <f>IF(A144&lt;&gt;"",VLOOKUP(A144,Setting!A$11:B$50,2,FALSE),"")</f>
        <v/>
      </c>
      <c r="K144" s="20" t="str">
        <f>IF(B144&lt;&gt;"", IF(A144="Supply",VLOOKUP(B144,[1]Supply!$A:$B,2,FALSE),IF(A144="Gold",B144,IF(A144="Point",B144,IF(A144="Ball",B144,"")))),"")</f>
        <v/>
      </c>
      <c r="L144" s="5" t="str">
        <f t="shared" si="27"/>
        <v/>
      </c>
      <c r="M144" t="str">
        <f t="shared" si="28"/>
        <v/>
      </c>
      <c r="N144" s="21" t="str">
        <f t="shared" si="29"/>
        <v/>
      </c>
      <c r="O144" s="26" t="str">
        <f t="shared" si="30"/>
        <v/>
      </c>
    </row>
    <row r="145" spans="1:15" ht="17.25" customHeight="1" thickBot="1">
      <c r="A145" s="22"/>
      <c r="B145" s="28"/>
      <c r="C145" s="22"/>
      <c r="D145" s="19" t="str">
        <f t="shared" si="24"/>
        <v/>
      </c>
      <c r="E145">
        <v>122</v>
      </c>
      <c r="J145" s="5" t="str">
        <f>IF(A145&lt;&gt;"",VLOOKUP(A145,Setting!A$11:B$50,2,FALSE),"")</f>
        <v/>
      </c>
      <c r="K145" s="20" t="str">
        <f>IF(B145&lt;&gt;"", IF(A145="Supply",VLOOKUP(B145,[1]Supply!$A:$B,2,FALSE),IF(A145="Gold",B145,IF(A145="Point",B145,IF(A145="Ball",B145,"")))),"")</f>
        <v/>
      </c>
      <c r="L145" s="5" t="str">
        <f t="shared" si="27"/>
        <v/>
      </c>
      <c r="M145" t="str">
        <f t="shared" si="28"/>
        <v/>
      </c>
      <c r="N145" s="21" t="str">
        <f t="shared" si="29"/>
        <v/>
      </c>
      <c r="O145" s="26" t="str">
        <f t="shared" si="30"/>
        <v/>
      </c>
    </row>
    <row r="146" spans="1:15" ht="17.25" customHeight="1" thickBot="1">
      <c r="A146" s="22"/>
      <c r="B146" s="28"/>
      <c r="C146" s="22"/>
      <c r="D146" s="19" t="str">
        <f t="shared" si="24"/>
        <v/>
      </c>
      <c r="E146">
        <v>123</v>
      </c>
      <c r="J146" s="5" t="str">
        <f>IF(A146&lt;&gt;"",VLOOKUP(A146,Setting!A$11:B$50,2,FALSE),"")</f>
        <v/>
      </c>
      <c r="K146" s="20" t="str">
        <f>IF(B146&lt;&gt;"", IF(A146="Supply",VLOOKUP(B146,[1]Supply!$A:$B,2,FALSE),IF(A146="Gold",B146,IF(A146="Point",B146,IF(A146="Ball",B146,"")))),"")</f>
        <v/>
      </c>
      <c r="L146" s="5" t="str">
        <f t="shared" si="27"/>
        <v/>
      </c>
      <c r="M146" t="str">
        <f t="shared" si="28"/>
        <v/>
      </c>
      <c r="N146" s="21" t="str">
        <f t="shared" si="29"/>
        <v/>
      </c>
      <c r="O146" s="26" t="str">
        <f t="shared" si="30"/>
        <v/>
      </c>
    </row>
    <row r="147" spans="1:15" ht="17.25" customHeight="1" thickBot="1">
      <c r="A147" s="22"/>
      <c r="B147" s="28"/>
      <c r="C147" s="22"/>
      <c r="D147" s="19" t="str">
        <f t="shared" si="24"/>
        <v/>
      </c>
      <c r="E147">
        <v>124</v>
      </c>
      <c r="J147" s="5" t="str">
        <f>IF(A147&lt;&gt;"",VLOOKUP(A147,Setting!A$11:B$50,2,FALSE),"")</f>
        <v/>
      </c>
      <c r="K147" s="20" t="str">
        <f>IF(B147&lt;&gt;"", IF(A147="Supply",VLOOKUP(B147,[1]Supply!$A:$B,2,FALSE),IF(A147="Gold",B147,IF(A147="Point",B147,IF(A147="Ball",B147,"")))),"")</f>
        <v/>
      </c>
      <c r="L147" s="5" t="str">
        <f t="shared" si="27"/>
        <v/>
      </c>
      <c r="M147" t="str">
        <f t="shared" si="28"/>
        <v/>
      </c>
      <c r="N147" s="21" t="str">
        <f t="shared" si="29"/>
        <v/>
      </c>
      <c r="O147" s="26" t="str">
        <f t="shared" si="30"/>
        <v/>
      </c>
    </row>
    <row r="148" spans="1:15" ht="17.25" customHeight="1" thickBot="1">
      <c r="A148" s="22"/>
      <c r="B148" s="28"/>
      <c r="C148" s="22"/>
      <c r="D148" s="19" t="str">
        <f t="shared" si="24"/>
        <v/>
      </c>
      <c r="E148">
        <v>125</v>
      </c>
      <c r="J148" s="5" t="str">
        <f>IF(A148&lt;&gt;"",VLOOKUP(A148,Setting!A$11:B$50,2,FALSE),"")</f>
        <v/>
      </c>
      <c r="K148" s="20" t="str">
        <f>IF(B148&lt;&gt;"", IF(A148="Supply",VLOOKUP(B148,[1]Supply!$A:$B,2,FALSE),IF(A148="Gold",B148,IF(A148="Point",B148,IF(A148="Ball",B148,"")))),"")</f>
        <v/>
      </c>
      <c r="L148" s="5" t="str">
        <f t="shared" si="27"/>
        <v/>
      </c>
      <c r="M148" t="str">
        <f t="shared" si="28"/>
        <v/>
      </c>
      <c r="N148" s="21" t="str">
        <f t="shared" si="29"/>
        <v/>
      </c>
      <c r="O148" s="26" t="str">
        <f t="shared" si="30"/>
        <v/>
      </c>
    </row>
    <row r="149" spans="1:15" ht="17.25" customHeight="1" thickBot="1">
      <c r="A149" s="22"/>
      <c r="B149" s="28"/>
      <c r="C149" s="22"/>
      <c r="D149" s="19" t="str">
        <f t="shared" si="24"/>
        <v/>
      </c>
      <c r="E149">
        <v>126</v>
      </c>
      <c r="J149" s="5" t="str">
        <f>IF(A149&lt;&gt;"",VLOOKUP(A149,Setting!A$11:B$50,2,FALSE),"")</f>
        <v/>
      </c>
      <c r="K149" s="20" t="str">
        <f>IF(B149&lt;&gt;"", IF(A149="Supply",VLOOKUP(B149,[1]Supply!$A:$B,2,FALSE),IF(A149="Gold",B149,IF(A149="Point",B149,IF(A149="Ball",B149,"")))),"")</f>
        <v/>
      </c>
      <c r="L149" s="5" t="str">
        <f t="shared" si="27"/>
        <v/>
      </c>
      <c r="M149" t="str">
        <f t="shared" si="28"/>
        <v/>
      </c>
      <c r="N149" s="21" t="str">
        <f t="shared" si="29"/>
        <v/>
      </c>
      <c r="O149" s="26" t="str">
        <f t="shared" si="30"/>
        <v/>
      </c>
    </row>
    <row r="150" spans="1:15" ht="17.25" customHeight="1" thickBot="1">
      <c r="A150" s="22"/>
      <c r="B150" s="28"/>
      <c r="C150" s="22"/>
      <c r="D150" s="19" t="str">
        <f t="shared" si="24"/>
        <v/>
      </c>
      <c r="E150">
        <v>127</v>
      </c>
      <c r="J150" s="5" t="str">
        <f>IF(A150&lt;&gt;"",VLOOKUP(A150,Setting!A$11:B$50,2,FALSE),"")</f>
        <v/>
      </c>
      <c r="K150" s="20" t="str">
        <f>IF(B150&lt;&gt;"", IF(A150="Supply",VLOOKUP(B150,[1]Supply!$A:$B,2,FALSE),IF(A150="Gold",B150,IF(A150="Point",B150,IF(A150="Ball",B150,"")))),"")</f>
        <v/>
      </c>
      <c r="L150" s="5" t="str">
        <f t="shared" si="27"/>
        <v/>
      </c>
      <c r="M150" t="str">
        <f t="shared" si="28"/>
        <v/>
      </c>
      <c r="N150" s="21" t="str">
        <f t="shared" si="29"/>
        <v/>
      </c>
      <c r="O150" s="26" t="str">
        <f t="shared" si="30"/>
        <v/>
      </c>
    </row>
    <row r="151" spans="1:15" ht="17.25" customHeight="1" thickBot="1">
      <c r="A151" s="22"/>
      <c r="B151" s="28"/>
      <c r="C151" s="22"/>
      <c r="D151" s="19" t="str">
        <f t="shared" si="24"/>
        <v/>
      </c>
      <c r="E151">
        <v>128</v>
      </c>
      <c r="J151" s="5" t="str">
        <f>IF(A151&lt;&gt;"",VLOOKUP(A151,Setting!A$11:B$50,2,FALSE),"")</f>
        <v/>
      </c>
      <c r="K151" s="20" t="str">
        <f>IF(B151&lt;&gt;"", IF(A151="Supply",VLOOKUP(B151,[1]Supply!$A:$B,2,FALSE),IF(A151="Gold",B151,IF(A151="Point",B151,IF(A151="Ball",B151,"")))),"")</f>
        <v/>
      </c>
      <c r="L151" s="5" t="str">
        <f t="shared" si="27"/>
        <v/>
      </c>
      <c r="M151" t="str">
        <f t="shared" si="28"/>
        <v/>
      </c>
      <c r="N151" s="21" t="str">
        <f t="shared" si="29"/>
        <v/>
      </c>
      <c r="O151" s="26" t="str">
        <f t="shared" si="30"/>
        <v/>
      </c>
    </row>
    <row r="152" spans="1:15" ht="17.25" customHeight="1" thickBot="1">
      <c r="A152" s="22"/>
      <c r="B152" s="28"/>
      <c r="C152" s="22"/>
      <c r="D152" s="19" t="str">
        <f t="shared" si="24"/>
        <v/>
      </c>
      <c r="E152">
        <v>129</v>
      </c>
      <c r="J152" s="5" t="str">
        <f>IF(A152&lt;&gt;"",VLOOKUP(A152,Setting!A$11:B$50,2,FALSE),"")</f>
        <v/>
      </c>
      <c r="K152" s="20" t="str">
        <f>IF(B152&lt;&gt;"", IF(A152="Supply",VLOOKUP(B152,[1]Supply!$A:$B,2,FALSE),IF(A152="Gold",B152,IF(A152="Point",B152,IF(A152="Ball",B152,"")))),"")</f>
        <v/>
      </c>
      <c r="L152" s="5" t="str">
        <f t="shared" si="27"/>
        <v/>
      </c>
      <c r="M152" t="str">
        <f t="shared" si="28"/>
        <v/>
      </c>
      <c r="N152" s="21" t="str">
        <f t="shared" si="29"/>
        <v/>
      </c>
      <c r="O152" s="26" t="str">
        <f t="shared" si="30"/>
        <v/>
      </c>
    </row>
    <row r="153" spans="1:15" ht="17.25" customHeight="1" thickBot="1">
      <c r="A153" s="22"/>
      <c r="B153" s="28"/>
      <c r="C153" s="22"/>
      <c r="D153" s="19" t="str">
        <f t="shared" ref="D153:D216" si="31">IF($A$20="Random",IF(C153&lt;&gt;"",C153/$C$22,""),"把A20改成Random")</f>
        <v/>
      </c>
      <c r="E153">
        <v>130</v>
      </c>
      <c r="J153" s="5" t="str">
        <f>IF(A153&lt;&gt;"",VLOOKUP(A153,Setting!A$11:B$50,2,FALSE),"")</f>
        <v/>
      </c>
      <c r="K153" s="20" t="str">
        <f>IF(B153&lt;&gt;"", IF(A153="Supply",VLOOKUP(B153,[1]Supply!$A:$B,2,FALSE),IF(A153="Gold",B153,IF(A153="Point",B153,IF(A153="Ball",B153,"")))),"")</f>
        <v/>
      </c>
      <c r="L153" s="5" t="str">
        <f t="shared" ref="L153:L216" si="32">IF(D153&lt;&gt;"",TEXT(D153,"0.0%"),"")</f>
        <v/>
      </c>
      <c r="M153" t="str">
        <f t="shared" ref="M153:M216" si="33">IF(J153&lt;&gt;"",IF(ISERROR(K153)=FALSE,J153&amp;":"&amp;K153&amp;" ("&amp;L153&amp;")","Error"),"")</f>
        <v/>
      </c>
      <c r="N153" s="21" t="str">
        <f t="shared" si="29"/>
        <v/>
      </c>
      <c r="O153" s="26" t="str">
        <f t="shared" si="30"/>
        <v/>
      </c>
    </row>
    <row r="154" spans="1:15" ht="17.25" customHeight="1" thickBot="1">
      <c r="A154" s="22"/>
      <c r="B154" s="28"/>
      <c r="C154" s="22"/>
      <c r="D154" s="19" t="str">
        <f t="shared" si="31"/>
        <v/>
      </c>
      <c r="E154">
        <v>131</v>
      </c>
      <c r="J154" s="5" t="str">
        <f>IF(A154&lt;&gt;"",VLOOKUP(A154,Setting!A$11:B$50,2,FALSE),"")</f>
        <v/>
      </c>
      <c r="K154" s="20" t="str">
        <f>IF(B154&lt;&gt;"", IF(A154="Supply",VLOOKUP(B154,[1]Supply!$A:$B,2,FALSE),IF(A154="Gold",B154,IF(A154="Point",B154,IF(A154="Ball",B154,"")))),"")</f>
        <v/>
      </c>
      <c r="L154" s="5" t="str">
        <f t="shared" si="32"/>
        <v/>
      </c>
      <c r="M154" t="str">
        <f t="shared" si="33"/>
        <v/>
      </c>
      <c r="N154" s="21" t="str">
        <f t="shared" si="29"/>
        <v/>
      </c>
      <c r="O154" s="26" t="str">
        <f t="shared" si="30"/>
        <v/>
      </c>
    </row>
    <row r="155" spans="1:15" ht="17.25" customHeight="1" thickBot="1">
      <c r="A155" s="22"/>
      <c r="B155" s="28"/>
      <c r="C155" s="22"/>
      <c r="D155" s="19" t="str">
        <f t="shared" si="31"/>
        <v/>
      </c>
      <c r="E155">
        <v>132</v>
      </c>
      <c r="J155" s="5" t="str">
        <f>IF(A155&lt;&gt;"",VLOOKUP(A155,Setting!A$11:B$50,2,FALSE),"")</f>
        <v/>
      </c>
      <c r="K155" s="20" t="str">
        <f>IF(B155&lt;&gt;"", IF(A155="Supply",VLOOKUP(B155,[1]Supply!$A:$B,2,FALSE),IF(A155="Gold",B155,IF(A155="Point",B155,IF(A155="Ball",B155,"")))),"")</f>
        <v/>
      </c>
      <c r="L155" s="5" t="str">
        <f t="shared" si="32"/>
        <v/>
      </c>
      <c r="M155" t="str">
        <f t="shared" si="33"/>
        <v/>
      </c>
      <c r="N155" s="21" t="str">
        <f t="shared" si="29"/>
        <v/>
      </c>
      <c r="O155" s="26" t="str">
        <f t="shared" si="30"/>
        <v/>
      </c>
    </row>
    <row r="156" spans="1:15" ht="17.25" customHeight="1" thickBot="1">
      <c r="A156" s="22"/>
      <c r="B156" s="28"/>
      <c r="C156" s="22"/>
      <c r="D156" s="19" t="str">
        <f t="shared" si="31"/>
        <v/>
      </c>
      <c r="E156">
        <v>133</v>
      </c>
      <c r="J156" s="5" t="str">
        <f>IF(A156&lt;&gt;"",VLOOKUP(A156,Setting!A$11:B$50,2,FALSE),"")</f>
        <v/>
      </c>
      <c r="K156" s="20" t="str">
        <f>IF(B156&lt;&gt;"", IF(A156="Supply",VLOOKUP(B156,[1]Supply!$A:$B,2,FALSE),IF(A156="Gold",B156,IF(A156="Point",B156,IF(A156="Ball",B156,"")))),"")</f>
        <v/>
      </c>
      <c r="L156" s="5" t="str">
        <f t="shared" si="32"/>
        <v/>
      </c>
      <c r="M156" t="str">
        <f t="shared" si="33"/>
        <v/>
      </c>
      <c r="N156" s="21" t="str">
        <f t="shared" si="29"/>
        <v/>
      </c>
      <c r="O156" s="26" t="str">
        <f t="shared" si="30"/>
        <v/>
      </c>
    </row>
    <row r="157" spans="1:15" ht="17.25" customHeight="1" thickBot="1">
      <c r="A157" s="22"/>
      <c r="B157" s="28"/>
      <c r="C157" s="22"/>
      <c r="D157" s="19" t="str">
        <f t="shared" si="31"/>
        <v/>
      </c>
      <c r="E157">
        <v>134</v>
      </c>
      <c r="J157" s="5" t="str">
        <f>IF(A157&lt;&gt;"",VLOOKUP(A157,Setting!A$11:B$50,2,FALSE),"")</f>
        <v/>
      </c>
      <c r="K157" s="20" t="str">
        <f>IF(B157&lt;&gt;"", IF(A157="Supply",VLOOKUP(B157,[1]Supply!$A:$B,2,FALSE),IF(A157="Gold",B157,IF(A157="Point",B157,IF(A157="Ball",B157,"")))),"")</f>
        <v/>
      </c>
      <c r="L157" s="5" t="str">
        <f t="shared" si="32"/>
        <v/>
      </c>
      <c r="M157" t="str">
        <f t="shared" si="33"/>
        <v/>
      </c>
      <c r="N157" s="21" t="str">
        <f t="shared" si="29"/>
        <v/>
      </c>
      <c r="O157" s="26" t="str">
        <f t="shared" si="30"/>
        <v/>
      </c>
    </row>
    <row r="158" spans="1:15" ht="17.25" customHeight="1" thickBot="1">
      <c r="A158" s="22"/>
      <c r="B158" s="28"/>
      <c r="C158" s="22"/>
      <c r="D158" s="19" t="str">
        <f t="shared" si="31"/>
        <v/>
      </c>
      <c r="E158">
        <v>135</v>
      </c>
      <c r="J158" s="5" t="str">
        <f>IF(A158&lt;&gt;"",VLOOKUP(A158,Setting!A$11:B$50,2,FALSE),"")</f>
        <v/>
      </c>
      <c r="K158" s="20" t="str">
        <f>IF(B158&lt;&gt;"", IF(A158="Supply",VLOOKUP(B158,[1]Supply!$A:$B,2,FALSE),IF(A158="Gold",B158,IF(A158="Point",B158,IF(A158="Ball",B158,"")))),"")</f>
        <v/>
      </c>
      <c r="L158" s="5" t="str">
        <f t="shared" si="32"/>
        <v/>
      </c>
      <c r="M158" t="str">
        <f t="shared" si="33"/>
        <v/>
      </c>
      <c r="N158" s="21" t="str">
        <f t="shared" si="29"/>
        <v/>
      </c>
      <c r="O158" s="26" t="str">
        <f t="shared" si="30"/>
        <v/>
      </c>
    </row>
    <row r="159" spans="1:15" ht="17.25" customHeight="1" thickBot="1">
      <c r="A159" s="22"/>
      <c r="B159" s="28"/>
      <c r="C159" s="22"/>
      <c r="D159" s="19" t="str">
        <f t="shared" si="31"/>
        <v/>
      </c>
      <c r="E159">
        <v>136</v>
      </c>
      <c r="J159" s="5" t="str">
        <f>IF(A159&lt;&gt;"",VLOOKUP(A159,Setting!A$11:B$50,2,FALSE),"")</f>
        <v/>
      </c>
      <c r="K159" s="20" t="str">
        <f>IF(B159&lt;&gt;"", IF(A159="Supply",VLOOKUP(B159,[1]Supply!$A:$B,2,FALSE),IF(A159="Gold",B159,IF(A159="Point",B159,IF(A159="Ball",B159,"")))),"")</f>
        <v/>
      </c>
      <c r="L159" s="5" t="str">
        <f t="shared" si="32"/>
        <v/>
      </c>
      <c r="M159" t="str">
        <f t="shared" si="33"/>
        <v/>
      </c>
      <c r="N159" s="21" t="str">
        <f t="shared" si="29"/>
        <v/>
      </c>
      <c r="O159" s="26" t="str">
        <f t="shared" si="30"/>
        <v/>
      </c>
    </row>
    <row r="160" spans="1:15" ht="17.25" customHeight="1" thickBot="1">
      <c r="A160" s="22"/>
      <c r="B160" s="28"/>
      <c r="C160" s="22"/>
      <c r="D160" s="19" t="str">
        <f t="shared" si="31"/>
        <v/>
      </c>
      <c r="E160">
        <v>137</v>
      </c>
      <c r="J160" s="5" t="str">
        <f>IF(A160&lt;&gt;"",VLOOKUP(A160,Setting!A$11:B$50,2,FALSE),"")</f>
        <v/>
      </c>
      <c r="K160" s="20" t="str">
        <f>IF(B160&lt;&gt;"", IF(A160="Supply",VLOOKUP(B160,[1]Supply!$A:$B,2,FALSE),IF(A160="Gold",B160,IF(A160="Point",B160,IF(A160="Ball",B160,"")))),"")</f>
        <v/>
      </c>
      <c r="L160" s="5" t="str">
        <f t="shared" si="32"/>
        <v/>
      </c>
      <c r="M160" t="str">
        <f t="shared" si="33"/>
        <v/>
      </c>
      <c r="N160" s="21" t="str">
        <f t="shared" si="29"/>
        <v/>
      </c>
      <c r="O160" s="26" t="str">
        <f t="shared" si="30"/>
        <v/>
      </c>
    </row>
    <row r="161" spans="1:15" ht="17.25" customHeight="1" thickBot="1">
      <c r="A161" s="22"/>
      <c r="B161" s="28"/>
      <c r="C161" s="22"/>
      <c r="D161" s="19" t="str">
        <f t="shared" si="31"/>
        <v/>
      </c>
      <c r="E161">
        <v>138</v>
      </c>
      <c r="J161" s="5" t="str">
        <f>IF(A161&lt;&gt;"",VLOOKUP(A161,Setting!A$11:B$50,2,FALSE),"")</f>
        <v/>
      </c>
      <c r="K161" s="20" t="str">
        <f>IF(B161&lt;&gt;"", IF(A161="Supply",VLOOKUP(B161,[1]Supply!$A:$B,2,FALSE),IF(A161="Gold",B161,IF(A161="Point",B161,IF(A161="Ball",B161,"")))),"")</f>
        <v/>
      </c>
      <c r="L161" s="5" t="str">
        <f t="shared" si="32"/>
        <v/>
      </c>
      <c r="M161" t="str">
        <f t="shared" si="33"/>
        <v/>
      </c>
      <c r="N161" s="21" t="str">
        <f t="shared" si="29"/>
        <v/>
      </c>
      <c r="O161" s="26" t="str">
        <f t="shared" si="30"/>
        <v/>
      </c>
    </row>
    <row r="162" spans="1:15" ht="17.25" customHeight="1" thickBot="1">
      <c r="A162" s="22"/>
      <c r="B162" s="28"/>
      <c r="C162" s="22"/>
      <c r="D162" s="19" t="str">
        <f t="shared" si="31"/>
        <v/>
      </c>
      <c r="E162">
        <v>139</v>
      </c>
      <c r="J162" s="5" t="str">
        <f>IF(A162&lt;&gt;"",VLOOKUP(A162,Setting!A$11:B$50,2,FALSE),"")</f>
        <v/>
      </c>
      <c r="K162" s="20" t="str">
        <f>IF(B162&lt;&gt;"", IF(A162="Supply",VLOOKUP(B162,[1]Supply!$A:$B,2,FALSE),IF(A162="Gold",B162,IF(A162="Point",B162,IF(A162="Ball",B162,"")))),"")</f>
        <v/>
      </c>
      <c r="L162" s="5" t="str">
        <f t="shared" si="32"/>
        <v/>
      </c>
      <c r="M162" t="str">
        <f t="shared" si="33"/>
        <v/>
      </c>
      <c r="N162" s="21" t="str">
        <f t="shared" si="29"/>
        <v/>
      </c>
      <c r="O162" s="26" t="str">
        <f t="shared" si="30"/>
        <v/>
      </c>
    </row>
    <row r="163" spans="1:15" ht="17.25" customHeight="1" thickBot="1">
      <c r="A163" s="22"/>
      <c r="B163" s="28"/>
      <c r="C163" s="22"/>
      <c r="D163" s="19" t="str">
        <f t="shared" si="31"/>
        <v/>
      </c>
      <c r="E163">
        <v>140</v>
      </c>
      <c r="J163" s="5" t="str">
        <f>IF(A163&lt;&gt;"",VLOOKUP(A163,Setting!A$11:B$50,2,FALSE),"")</f>
        <v/>
      </c>
      <c r="K163" s="20" t="str">
        <f>IF(B163&lt;&gt;"", IF(A163="Supply",VLOOKUP(B163,[1]Supply!$A:$B,2,FALSE),IF(A163="Gold",B163,IF(A163="Point",B163,IF(A163="Ball",B163,"")))),"")</f>
        <v/>
      </c>
      <c r="L163" s="5" t="str">
        <f t="shared" si="32"/>
        <v/>
      </c>
      <c r="M163" t="str">
        <f t="shared" si="33"/>
        <v/>
      </c>
      <c r="N163" s="21" t="str">
        <f t="shared" si="29"/>
        <v/>
      </c>
      <c r="O163" s="26" t="str">
        <f t="shared" si="30"/>
        <v/>
      </c>
    </row>
    <row r="164" spans="1:15" ht="17.25" customHeight="1" thickBot="1">
      <c r="A164" s="22"/>
      <c r="B164" s="28"/>
      <c r="C164" s="22"/>
      <c r="D164" s="19" t="str">
        <f t="shared" si="31"/>
        <v/>
      </c>
      <c r="E164">
        <v>141</v>
      </c>
      <c r="J164" s="5" t="str">
        <f>IF(A164&lt;&gt;"",VLOOKUP(A164,Setting!A$11:B$50,2,FALSE),"")</f>
        <v/>
      </c>
      <c r="K164" s="20" t="str">
        <f>IF(B164&lt;&gt;"", IF(A164="Supply",VLOOKUP(B164,[1]Supply!$A:$B,2,FALSE),IF(A164="Gold",B164,IF(A164="Point",B164,IF(A164="Ball",B164,"")))),"")</f>
        <v/>
      </c>
      <c r="L164" s="5" t="str">
        <f t="shared" si="32"/>
        <v/>
      </c>
      <c r="M164" t="str">
        <f t="shared" si="33"/>
        <v/>
      </c>
      <c r="N164" s="21" t="str">
        <f t="shared" si="29"/>
        <v/>
      </c>
      <c r="O164" s="26" t="str">
        <f t="shared" si="30"/>
        <v/>
      </c>
    </row>
    <row r="165" spans="1:15" ht="17.25" customHeight="1" thickBot="1">
      <c r="A165" s="22"/>
      <c r="B165" s="28"/>
      <c r="C165" s="22"/>
      <c r="D165" s="19" t="str">
        <f t="shared" si="31"/>
        <v/>
      </c>
      <c r="E165">
        <v>142</v>
      </c>
      <c r="J165" s="5" t="str">
        <f>IF(A165&lt;&gt;"",VLOOKUP(A165,Setting!A$11:B$50,2,FALSE),"")</f>
        <v/>
      </c>
      <c r="K165" s="20" t="str">
        <f>IF(B165&lt;&gt;"", IF(A165="Supply",VLOOKUP(B165,[1]Supply!$A:$B,2,FALSE),IF(A165="Gold",B165,IF(A165="Point",B165,IF(A165="Ball",B165,"")))),"")</f>
        <v/>
      </c>
      <c r="L165" s="5" t="str">
        <f t="shared" si="32"/>
        <v/>
      </c>
      <c r="M165" t="str">
        <f t="shared" si="33"/>
        <v/>
      </c>
      <c r="N165" s="21" t="str">
        <f t="shared" si="29"/>
        <v/>
      </c>
      <c r="O165" s="26" t="str">
        <f t="shared" si="30"/>
        <v/>
      </c>
    </row>
    <row r="166" spans="1:15" ht="17.25" customHeight="1" thickBot="1">
      <c r="A166" s="22"/>
      <c r="B166" s="28"/>
      <c r="C166" s="22"/>
      <c r="D166" s="19" t="str">
        <f t="shared" si="31"/>
        <v/>
      </c>
      <c r="E166">
        <v>143</v>
      </c>
      <c r="J166" s="5" t="str">
        <f>IF(A166&lt;&gt;"",VLOOKUP(A166,Setting!A$11:B$50,2,FALSE),"")</f>
        <v/>
      </c>
      <c r="K166" s="20" t="str">
        <f>IF(B166&lt;&gt;"", IF(A166="Supply",VLOOKUP(B166,[1]Supply!$A:$B,2,FALSE),IF(A166="Gold",B166,IF(A166="Point",B166,IF(A166="Ball",B166,"")))),"")</f>
        <v/>
      </c>
      <c r="L166" s="5" t="str">
        <f t="shared" si="32"/>
        <v/>
      </c>
      <c r="M166" t="str">
        <f t="shared" si="33"/>
        <v/>
      </c>
      <c r="N166" s="21" t="str">
        <f t="shared" si="29"/>
        <v/>
      </c>
      <c r="O166" s="26" t="str">
        <f t="shared" si="30"/>
        <v/>
      </c>
    </row>
    <row r="167" spans="1:15" ht="17.25" customHeight="1" thickBot="1">
      <c r="A167" s="22"/>
      <c r="B167" s="28"/>
      <c r="C167" s="22"/>
      <c r="D167" s="19" t="str">
        <f t="shared" si="31"/>
        <v/>
      </c>
      <c r="E167">
        <v>144</v>
      </c>
      <c r="J167" s="5" t="str">
        <f>IF(A167&lt;&gt;"",VLOOKUP(A167,Setting!A$11:B$50,2,FALSE),"")</f>
        <v/>
      </c>
      <c r="K167" s="20" t="str">
        <f>IF(B167&lt;&gt;"", IF(A167="Supply",VLOOKUP(B167,[1]Supply!$A:$B,2,FALSE),IF(A167="Gold",B167,IF(A167="Point",B167,IF(A167="Ball",B167,"")))),"")</f>
        <v/>
      </c>
      <c r="L167" s="5" t="str">
        <f t="shared" si="32"/>
        <v/>
      </c>
      <c r="M167" t="str">
        <f t="shared" si="33"/>
        <v/>
      </c>
      <c r="N167" s="21" t="str">
        <f t="shared" si="29"/>
        <v/>
      </c>
      <c r="O167" s="26" t="str">
        <f t="shared" si="30"/>
        <v/>
      </c>
    </row>
    <row r="168" spans="1:15" ht="17.25" customHeight="1" thickBot="1">
      <c r="A168" s="22"/>
      <c r="B168" s="28"/>
      <c r="C168" s="22"/>
      <c r="D168" s="19" t="str">
        <f t="shared" si="31"/>
        <v/>
      </c>
      <c r="E168">
        <v>145</v>
      </c>
      <c r="J168" s="5" t="str">
        <f>IF(A168&lt;&gt;"",VLOOKUP(A168,Setting!A$11:B$50,2,FALSE),"")</f>
        <v/>
      </c>
      <c r="K168" s="20" t="str">
        <f>IF(B168&lt;&gt;"", IF(A168="Supply",VLOOKUP(B168,[1]Supply!$A:$B,2,FALSE),IF(A168="Gold",B168,IF(A168="Point",B168,IF(A168="Ball",B168,"")))),"")</f>
        <v/>
      </c>
      <c r="L168" s="5" t="str">
        <f t="shared" si="32"/>
        <v/>
      </c>
      <c r="M168" t="str">
        <f t="shared" si="33"/>
        <v/>
      </c>
      <c r="N168" s="21" t="str">
        <f t="shared" si="29"/>
        <v/>
      </c>
      <c r="O168" s="26" t="str">
        <f t="shared" si="30"/>
        <v/>
      </c>
    </row>
    <row r="169" spans="1:15" ht="17.25" customHeight="1" thickBot="1">
      <c r="A169" s="22"/>
      <c r="B169" s="28"/>
      <c r="C169" s="22"/>
      <c r="D169" s="19" t="str">
        <f t="shared" si="31"/>
        <v/>
      </c>
      <c r="E169">
        <v>146</v>
      </c>
      <c r="J169" s="5" t="str">
        <f>IF(A169&lt;&gt;"",VLOOKUP(A169,Setting!A$11:B$50,2,FALSE),"")</f>
        <v/>
      </c>
      <c r="K169" s="20" t="str">
        <f>IF(B169&lt;&gt;"", IF(A169="Supply",VLOOKUP(B169,[1]Supply!$A:$B,2,FALSE),IF(A169="Gold",B169,IF(A169="Point",B169,IF(A169="Ball",B169,"")))),"")</f>
        <v/>
      </c>
      <c r="L169" s="5" t="str">
        <f t="shared" si="32"/>
        <v/>
      </c>
      <c r="M169" t="str">
        <f t="shared" si="33"/>
        <v/>
      </c>
      <c r="N169" s="21" t="str">
        <f t="shared" si="29"/>
        <v/>
      </c>
      <c r="O169" s="26" t="str">
        <f t="shared" si="30"/>
        <v/>
      </c>
    </row>
    <row r="170" spans="1:15" ht="17.25" customHeight="1" thickBot="1">
      <c r="A170" s="22"/>
      <c r="B170" s="28"/>
      <c r="C170" s="22"/>
      <c r="D170" s="19" t="str">
        <f t="shared" si="31"/>
        <v/>
      </c>
      <c r="E170">
        <v>147</v>
      </c>
      <c r="J170" s="5" t="str">
        <f>IF(A170&lt;&gt;"",VLOOKUP(A170,Setting!A$11:B$50,2,FALSE),"")</f>
        <v/>
      </c>
      <c r="K170" s="20" t="str">
        <f>IF(B170&lt;&gt;"", IF(A170="Supply",VLOOKUP(B170,[1]Supply!$A:$B,2,FALSE),IF(A170="Gold",B170,IF(A170="Point",B170,IF(A170="Ball",B170,"")))),"")</f>
        <v/>
      </c>
      <c r="L170" s="5" t="str">
        <f t="shared" si="32"/>
        <v/>
      </c>
      <c r="M170" t="str">
        <f t="shared" si="33"/>
        <v/>
      </c>
      <c r="N170" s="21" t="str">
        <f t="shared" si="29"/>
        <v/>
      </c>
      <c r="O170" s="26" t="str">
        <f t="shared" si="30"/>
        <v/>
      </c>
    </row>
    <row r="171" spans="1:15" ht="17.25" customHeight="1" thickBot="1">
      <c r="A171" s="22"/>
      <c r="B171" s="28"/>
      <c r="C171" s="22"/>
      <c r="D171" s="19" t="str">
        <f t="shared" si="31"/>
        <v/>
      </c>
      <c r="E171">
        <v>148</v>
      </c>
      <c r="J171" s="5" t="str">
        <f>IF(A171&lt;&gt;"",VLOOKUP(A171,Setting!A$11:B$50,2,FALSE),"")</f>
        <v/>
      </c>
      <c r="K171" s="20" t="str">
        <f>IF(B171&lt;&gt;"", IF(A171="Supply",VLOOKUP(B171,[1]Supply!$A:$B,2,FALSE),IF(A171="Gold",B171,IF(A171="Point",B171,IF(A171="Ball",B171,"")))),"")</f>
        <v/>
      </c>
      <c r="L171" s="5" t="str">
        <f t="shared" si="32"/>
        <v/>
      </c>
      <c r="M171" t="str">
        <f t="shared" si="33"/>
        <v/>
      </c>
      <c r="N171" s="21" t="str">
        <f t="shared" si="29"/>
        <v/>
      </c>
      <c r="O171" s="26" t="str">
        <f t="shared" si="30"/>
        <v/>
      </c>
    </row>
    <row r="172" spans="1:15" ht="17.25" customHeight="1" thickBot="1">
      <c r="A172" s="22"/>
      <c r="B172" s="28"/>
      <c r="C172" s="22"/>
      <c r="D172" s="19" t="str">
        <f t="shared" si="31"/>
        <v/>
      </c>
      <c r="E172">
        <v>149</v>
      </c>
      <c r="J172" s="5" t="str">
        <f>IF(A172&lt;&gt;"",VLOOKUP(A172,Setting!A$11:B$50,2,FALSE),"")</f>
        <v/>
      </c>
      <c r="K172" s="20" t="str">
        <f>IF(B172&lt;&gt;"", IF(A172="Supply",VLOOKUP(B172,[1]Supply!$A:$B,2,FALSE),IF(A172="Gold",B172,IF(A172="Point",B172,IF(A172="Ball",B172,"")))),"")</f>
        <v/>
      </c>
      <c r="L172" s="5" t="str">
        <f t="shared" si="32"/>
        <v/>
      </c>
      <c r="M172" t="str">
        <f t="shared" si="33"/>
        <v/>
      </c>
      <c r="N172" s="21" t="str">
        <f t="shared" si="29"/>
        <v/>
      </c>
      <c r="O172" s="26" t="str">
        <f t="shared" si="30"/>
        <v/>
      </c>
    </row>
    <row r="173" spans="1:15" ht="17.25" customHeight="1" thickBot="1">
      <c r="A173" s="22"/>
      <c r="B173" s="28"/>
      <c r="C173" s="22"/>
      <c r="D173" s="19" t="str">
        <f t="shared" si="31"/>
        <v/>
      </c>
      <c r="E173">
        <v>150</v>
      </c>
      <c r="J173" s="5" t="str">
        <f>IF(A173&lt;&gt;"",VLOOKUP(A173,Setting!A$11:B$50,2,FALSE),"")</f>
        <v/>
      </c>
      <c r="K173" s="20" t="str">
        <f>IF(B173&lt;&gt;"", IF(A173="Supply",VLOOKUP(B173,[1]Supply!$A:$B,2,FALSE),IF(A173="Gold",B173,IF(A173="Point",B173,IF(A173="Ball",B173,"")))),"")</f>
        <v/>
      </c>
      <c r="L173" s="5" t="str">
        <f t="shared" si="32"/>
        <v/>
      </c>
      <c r="M173" t="str">
        <f t="shared" si="33"/>
        <v/>
      </c>
      <c r="N173" s="21" t="str">
        <f t="shared" si="29"/>
        <v/>
      </c>
      <c r="O173" s="26" t="str">
        <f t="shared" si="30"/>
        <v/>
      </c>
    </row>
    <row r="174" spans="1:15" ht="17.25" customHeight="1" thickBot="1">
      <c r="A174" s="22"/>
      <c r="B174" s="28"/>
      <c r="C174" s="22"/>
      <c r="D174" s="19" t="str">
        <f t="shared" si="31"/>
        <v/>
      </c>
      <c r="E174">
        <v>151</v>
      </c>
      <c r="J174" s="5" t="str">
        <f>IF(A174&lt;&gt;"",VLOOKUP(A174,Setting!A$11:B$50,2,FALSE),"")</f>
        <v/>
      </c>
      <c r="K174" s="20" t="str">
        <f>IF(B174&lt;&gt;"", IF(A174="Supply",VLOOKUP(B174,[1]Supply!$A:$B,2,FALSE),IF(A174="Gold",B174,IF(A174="Point",B174,IF(A174="Ball",B174,"")))),"")</f>
        <v/>
      </c>
      <c r="L174" s="5" t="str">
        <f t="shared" si="32"/>
        <v/>
      </c>
      <c r="M174" t="str">
        <f t="shared" si="33"/>
        <v/>
      </c>
      <c r="N174" s="21" t="str">
        <f t="shared" si="29"/>
        <v/>
      </c>
      <c r="O174" s="26" t="str">
        <f t="shared" si="30"/>
        <v/>
      </c>
    </row>
    <row r="175" spans="1:15" ht="17.25" customHeight="1" thickBot="1">
      <c r="A175" s="22"/>
      <c r="B175" s="28"/>
      <c r="C175" s="22"/>
      <c r="D175" s="19" t="str">
        <f t="shared" si="31"/>
        <v/>
      </c>
      <c r="E175">
        <v>152</v>
      </c>
      <c r="J175" s="5" t="str">
        <f>IF(A175&lt;&gt;"",VLOOKUP(A175,Setting!A$11:B$50,2,FALSE),"")</f>
        <v/>
      </c>
      <c r="K175" s="20" t="str">
        <f>IF(B175&lt;&gt;"", IF(A175="Supply",VLOOKUP(B175,[1]Supply!$A:$B,2,FALSE),IF(A175="Gold",B175,IF(A175="Point",B175,IF(A175="Ball",B175,"")))),"")</f>
        <v/>
      </c>
      <c r="L175" s="5" t="str">
        <f t="shared" si="32"/>
        <v/>
      </c>
      <c r="M175" t="str">
        <f t="shared" si="33"/>
        <v/>
      </c>
      <c r="N175" s="21" t="str">
        <f t="shared" si="29"/>
        <v/>
      </c>
      <c r="O175" s="26" t="str">
        <f t="shared" si="30"/>
        <v/>
      </c>
    </row>
    <row r="176" spans="1:15" ht="17.25" customHeight="1" thickBot="1">
      <c r="A176" s="22"/>
      <c r="B176" s="28"/>
      <c r="C176" s="22"/>
      <c r="D176" s="19" t="str">
        <f t="shared" si="31"/>
        <v/>
      </c>
      <c r="E176">
        <v>153</v>
      </c>
      <c r="J176" s="5" t="str">
        <f>IF(A176&lt;&gt;"",VLOOKUP(A176,Setting!A$11:B$50,2,FALSE),"")</f>
        <v/>
      </c>
      <c r="K176" s="20" t="str">
        <f>IF(B176&lt;&gt;"", IF(A176="Supply",VLOOKUP(B176,[1]Supply!$A:$B,2,FALSE),IF(A176="Gold",B176,IF(A176="Point",B176,IF(A176="Ball",B176,"")))),"")</f>
        <v/>
      </c>
      <c r="L176" s="5" t="str">
        <f t="shared" si="32"/>
        <v/>
      </c>
      <c r="M176" t="str">
        <f t="shared" si="33"/>
        <v/>
      </c>
      <c r="N176" s="21" t="str">
        <f t="shared" si="29"/>
        <v/>
      </c>
      <c r="O176" s="26" t="str">
        <f t="shared" si="30"/>
        <v/>
      </c>
    </row>
    <row r="177" spans="1:15" ht="17.25" customHeight="1" thickBot="1">
      <c r="A177" s="22"/>
      <c r="B177" s="28"/>
      <c r="D177" s="19" t="str">
        <f t="shared" si="31"/>
        <v/>
      </c>
      <c r="E177">
        <v>154</v>
      </c>
      <c r="J177" s="5" t="str">
        <f>IF(A177&lt;&gt;"",VLOOKUP(A177,Setting!A$11:B$50,2,FALSE),"")</f>
        <v/>
      </c>
      <c r="K177" s="20"/>
      <c r="L177" s="5" t="str">
        <f t="shared" si="32"/>
        <v/>
      </c>
      <c r="M177" t="str">
        <f t="shared" si="33"/>
        <v/>
      </c>
      <c r="N177" s="21" t="str">
        <f t="shared" si="29"/>
        <v/>
      </c>
      <c r="O177" s="26" t="str">
        <f t="shared" si="30"/>
        <v/>
      </c>
    </row>
    <row r="178" spans="1:15" ht="17.25" customHeight="1" thickBot="1">
      <c r="A178" s="22"/>
      <c r="B178" s="28"/>
      <c r="C178" s="22"/>
      <c r="D178" s="19" t="str">
        <f t="shared" si="31"/>
        <v/>
      </c>
      <c r="E178">
        <v>155</v>
      </c>
      <c r="J178" s="5" t="str">
        <f>IF(A178&lt;&gt;"",VLOOKUP(A178,Setting!A$11:B$50,2,FALSE),"")</f>
        <v/>
      </c>
      <c r="K178" s="20"/>
      <c r="L178" s="5" t="str">
        <f t="shared" si="32"/>
        <v/>
      </c>
      <c r="M178" t="str">
        <f t="shared" si="33"/>
        <v/>
      </c>
      <c r="N178" s="21" t="str">
        <f t="shared" si="29"/>
        <v/>
      </c>
      <c r="O178" s="26" t="str">
        <f t="shared" si="30"/>
        <v/>
      </c>
    </row>
    <row r="179" spans="1:15" ht="17.25" customHeight="1" thickBot="1">
      <c r="A179" s="22"/>
      <c r="B179" s="28"/>
      <c r="C179" s="22"/>
      <c r="D179" s="19" t="str">
        <f t="shared" si="31"/>
        <v/>
      </c>
      <c r="E179">
        <v>156</v>
      </c>
      <c r="J179" s="5" t="str">
        <f>IF(A179&lt;&gt;"",VLOOKUP(A179,Setting!A$11:B$50,2,FALSE),"")</f>
        <v/>
      </c>
      <c r="K179" s="20"/>
      <c r="L179" s="5" t="str">
        <f t="shared" si="32"/>
        <v/>
      </c>
      <c r="M179" t="str">
        <f t="shared" si="33"/>
        <v/>
      </c>
      <c r="N179" s="21" t="str">
        <f t="shared" ref="N179:N215" si="34">IF(A179&lt;&gt;"",IF(AND( $A$20="Random", OR( $C179&lt;=0,$C179="")),"Error",""),"")</f>
        <v/>
      </c>
      <c r="O179" s="26" t="str">
        <f t="shared" ref="O179:O215" si="35" xml:space="preserve"> IF(A179&lt;&gt;"",IF(ISERROR(J179),"Error",IF(ISERROR(K179),"Error",IF(ISERROR(M179),"Error",""))),"")</f>
        <v/>
      </c>
    </row>
    <row r="180" spans="1:15" ht="17.25" customHeight="1" thickBot="1">
      <c r="A180" s="22"/>
      <c r="B180" s="28"/>
      <c r="C180" s="22"/>
      <c r="D180" s="19" t="str">
        <f t="shared" si="31"/>
        <v/>
      </c>
      <c r="E180">
        <v>157</v>
      </c>
      <c r="J180" s="5" t="str">
        <f>IF(A180&lt;&gt;"",VLOOKUP(A180,Setting!A$11:B$50,2,FALSE),"")</f>
        <v/>
      </c>
      <c r="K180" s="20"/>
      <c r="L180" s="5" t="str">
        <f t="shared" si="32"/>
        <v/>
      </c>
      <c r="M180" t="str">
        <f t="shared" si="33"/>
        <v/>
      </c>
      <c r="N180" s="21" t="str">
        <f t="shared" si="34"/>
        <v/>
      </c>
      <c r="O180" s="26" t="str">
        <f t="shared" si="35"/>
        <v/>
      </c>
    </row>
    <row r="181" spans="1:15" ht="17.25" customHeight="1" thickBot="1">
      <c r="A181" s="22"/>
      <c r="B181" s="28"/>
      <c r="C181" s="22"/>
      <c r="D181" s="19" t="str">
        <f t="shared" si="31"/>
        <v/>
      </c>
      <c r="E181">
        <v>158</v>
      </c>
      <c r="J181" s="5" t="str">
        <f>IF(A181&lt;&gt;"",VLOOKUP(A181,Setting!A$11:B$50,2,FALSE),"")</f>
        <v/>
      </c>
      <c r="K181" s="20"/>
      <c r="L181" s="5" t="str">
        <f t="shared" si="32"/>
        <v/>
      </c>
      <c r="M181" t="str">
        <f t="shared" si="33"/>
        <v/>
      </c>
      <c r="N181" s="21" t="str">
        <f t="shared" si="34"/>
        <v/>
      </c>
      <c r="O181" s="26" t="str">
        <f t="shared" si="35"/>
        <v/>
      </c>
    </row>
    <row r="182" spans="1:15" ht="17.25" customHeight="1" thickBot="1">
      <c r="A182" s="22"/>
      <c r="B182" s="28"/>
      <c r="C182" s="22"/>
      <c r="D182" s="19" t="str">
        <f t="shared" si="31"/>
        <v/>
      </c>
      <c r="E182">
        <v>159</v>
      </c>
      <c r="J182" s="5" t="str">
        <f>IF(A182&lt;&gt;"",VLOOKUP(A182,Setting!A$11:B$50,2,FALSE),"")</f>
        <v/>
      </c>
      <c r="K182" s="20"/>
      <c r="L182" s="5" t="str">
        <f t="shared" si="32"/>
        <v/>
      </c>
      <c r="M182" t="str">
        <f t="shared" si="33"/>
        <v/>
      </c>
      <c r="N182" s="21" t="str">
        <f t="shared" si="34"/>
        <v/>
      </c>
      <c r="O182" s="26" t="str">
        <f t="shared" si="35"/>
        <v/>
      </c>
    </row>
    <row r="183" spans="1:15" ht="17.25" customHeight="1" thickBot="1">
      <c r="A183" s="22"/>
      <c r="B183" s="28"/>
      <c r="C183" s="22"/>
      <c r="D183" s="19" t="str">
        <f t="shared" si="31"/>
        <v/>
      </c>
      <c r="E183">
        <v>160</v>
      </c>
      <c r="J183" s="5" t="str">
        <f>IF(A183&lt;&gt;"",VLOOKUP(A183,Setting!A$11:B$50,2,FALSE),"")</f>
        <v/>
      </c>
      <c r="K183" s="20"/>
      <c r="L183" s="5" t="str">
        <f t="shared" si="32"/>
        <v/>
      </c>
      <c r="M183" t="str">
        <f t="shared" si="33"/>
        <v/>
      </c>
      <c r="N183" s="21" t="str">
        <f t="shared" si="34"/>
        <v/>
      </c>
      <c r="O183" s="26" t="str">
        <f t="shared" si="35"/>
        <v/>
      </c>
    </row>
    <row r="184" spans="1:15" ht="17.25" customHeight="1" thickBot="1">
      <c r="A184" s="22"/>
      <c r="B184" s="28"/>
      <c r="C184" s="22"/>
      <c r="D184" s="19" t="str">
        <f t="shared" si="31"/>
        <v/>
      </c>
      <c r="E184">
        <v>161</v>
      </c>
      <c r="J184" s="5" t="str">
        <f>IF(A184&lt;&gt;"",VLOOKUP(A184,Setting!A$11:B$50,2,FALSE),"")</f>
        <v/>
      </c>
      <c r="K184" s="20"/>
      <c r="L184" s="5" t="str">
        <f t="shared" si="32"/>
        <v/>
      </c>
      <c r="M184" t="str">
        <f t="shared" si="33"/>
        <v/>
      </c>
      <c r="N184" s="21" t="str">
        <f t="shared" si="34"/>
        <v/>
      </c>
      <c r="O184" s="26" t="str">
        <f t="shared" si="35"/>
        <v/>
      </c>
    </row>
    <row r="185" spans="1:15" ht="17.25" customHeight="1" thickBot="1">
      <c r="A185" s="22"/>
      <c r="B185" s="28"/>
      <c r="C185" s="22"/>
      <c r="D185" s="19" t="str">
        <f t="shared" si="31"/>
        <v/>
      </c>
      <c r="E185">
        <v>162</v>
      </c>
      <c r="J185" s="5" t="str">
        <f>IF(A185&lt;&gt;"",VLOOKUP(A185,Setting!A$11:B$50,2,FALSE),"")</f>
        <v/>
      </c>
      <c r="K185" s="20"/>
      <c r="L185" s="5" t="str">
        <f t="shared" si="32"/>
        <v/>
      </c>
      <c r="M185" t="str">
        <f t="shared" si="33"/>
        <v/>
      </c>
      <c r="N185" s="21" t="str">
        <f t="shared" si="34"/>
        <v/>
      </c>
      <c r="O185" s="26" t="str">
        <f t="shared" si="35"/>
        <v/>
      </c>
    </row>
    <row r="186" spans="1:15" ht="17.25" customHeight="1" thickBot="1">
      <c r="A186" s="22"/>
      <c r="B186" s="28"/>
      <c r="C186" s="22"/>
      <c r="D186" s="19" t="str">
        <f t="shared" si="31"/>
        <v/>
      </c>
      <c r="E186">
        <v>163</v>
      </c>
      <c r="J186" s="5" t="str">
        <f>IF(A186&lt;&gt;"",VLOOKUP(A186,Setting!A$11:B$50,2,FALSE),"")</f>
        <v/>
      </c>
      <c r="K186" s="20"/>
      <c r="L186" s="5" t="str">
        <f t="shared" si="32"/>
        <v/>
      </c>
      <c r="M186" t="str">
        <f t="shared" si="33"/>
        <v/>
      </c>
      <c r="N186" s="21" t="str">
        <f t="shared" si="34"/>
        <v/>
      </c>
      <c r="O186" s="26" t="str">
        <f t="shared" si="35"/>
        <v/>
      </c>
    </row>
    <row r="187" spans="1:15" ht="17.25" customHeight="1" thickBot="1">
      <c r="A187" s="22"/>
      <c r="B187" s="28"/>
      <c r="C187" s="22"/>
      <c r="D187" s="19" t="str">
        <f t="shared" si="31"/>
        <v/>
      </c>
      <c r="E187">
        <v>164</v>
      </c>
      <c r="J187" s="5" t="str">
        <f>IF(A187&lt;&gt;"",VLOOKUP(A187,Setting!A$11:B$50,2,FALSE),"")</f>
        <v/>
      </c>
      <c r="K187" s="20"/>
      <c r="L187" s="5" t="str">
        <f t="shared" si="32"/>
        <v/>
      </c>
      <c r="M187" t="str">
        <f t="shared" si="33"/>
        <v/>
      </c>
      <c r="N187" s="21" t="str">
        <f t="shared" si="34"/>
        <v/>
      </c>
      <c r="O187" s="26" t="str">
        <f t="shared" si="35"/>
        <v/>
      </c>
    </row>
    <row r="188" spans="1:15" ht="17.25" customHeight="1" thickBot="1">
      <c r="A188" s="22"/>
      <c r="B188" s="28"/>
      <c r="C188" s="22"/>
      <c r="D188" s="19" t="str">
        <f t="shared" si="31"/>
        <v/>
      </c>
      <c r="E188">
        <v>165</v>
      </c>
      <c r="J188" s="5" t="str">
        <f>IF(A188&lt;&gt;"",VLOOKUP(A188,Setting!A$11:B$50,2,FALSE),"")</f>
        <v/>
      </c>
      <c r="K188" s="20"/>
      <c r="L188" s="5" t="str">
        <f t="shared" si="32"/>
        <v/>
      </c>
      <c r="M188" t="str">
        <f t="shared" si="33"/>
        <v/>
      </c>
      <c r="N188" s="21" t="str">
        <f t="shared" si="34"/>
        <v/>
      </c>
      <c r="O188" s="26" t="str">
        <f t="shared" si="35"/>
        <v/>
      </c>
    </row>
    <row r="189" spans="1:15" ht="17.25" customHeight="1" thickBot="1">
      <c r="A189" s="22"/>
      <c r="B189" s="28"/>
      <c r="C189" s="22"/>
      <c r="D189" s="19" t="str">
        <f t="shared" si="31"/>
        <v/>
      </c>
      <c r="E189">
        <v>166</v>
      </c>
      <c r="J189" s="5" t="str">
        <f>IF(A189&lt;&gt;"",VLOOKUP(A189,Setting!A$11:B$50,2,FALSE),"")</f>
        <v/>
      </c>
      <c r="K189" s="20"/>
      <c r="L189" s="5" t="str">
        <f t="shared" si="32"/>
        <v/>
      </c>
      <c r="M189" t="str">
        <f t="shared" si="33"/>
        <v/>
      </c>
      <c r="N189" s="21" t="str">
        <f t="shared" si="34"/>
        <v/>
      </c>
      <c r="O189" s="26" t="str">
        <f t="shared" si="35"/>
        <v/>
      </c>
    </row>
    <row r="190" spans="1:15" ht="17.25" customHeight="1" thickBot="1">
      <c r="A190" s="22"/>
      <c r="B190" s="28"/>
      <c r="C190" s="22"/>
      <c r="D190" s="19" t="str">
        <f t="shared" si="31"/>
        <v/>
      </c>
      <c r="E190">
        <v>167</v>
      </c>
      <c r="J190" s="5" t="str">
        <f>IF(A190&lt;&gt;"",VLOOKUP(A190,Setting!A$11:B$50,2,FALSE),"")</f>
        <v/>
      </c>
      <c r="K190" s="20"/>
      <c r="L190" s="5" t="str">
        <f t="shared" si="32"/>
        <v/>
      </c>
      <c r="M190" t="str">
        <f t="shared" si="33"/>
        <v/>
      </c>
      <c r="N190" s="21" t="str">
        <f t="shared" si="34"/>
        <v/>
      </c>
      <c r="O190" s="26" t="str">
        <f t="shared" si="35"/>
        <v/>
      </c>
    </row>
    <row r="191" spans="1:15" ht="17.25" customHeight="1" thickBot="1">
      <c r="A191" s="22"/>
      <c r="B191" s="28"/>
      <c r="C191" s="22"/>
      <c r="D191" s="19" t="str">
        <f t="shared" si="31"/>
        <v/>
      </c>
      <c r="E191">
        <v>168</v>
      </c>
      <c r="J191" s="5" t="str">
        <f>IF(A191&lt;&gt;"",VLOOKUP(A191,Setting!A$11:B$50,2,FALSE),"")</f>
        <v/>
      </c>
      <c r="K191" s="20"/>
      <c r="L191" s="5" t="str">
        <f t="shared" si="32"/>
        <v/>
      </c>
      <c r="M191" t="str">
        <f t="shared" si="33"/>
        <v/>
      </c>
      <c r="N191" s="21" t="str">
        <f t="shared" si="34"/>
        <v/>
      </c>
      <c r="O191" s="26" t="str">
        <f t="shared" si="35"/>
        <v/>
      </c>
    </row>
    <row r="192" spans="1:15" ht="17.25" customHeight="1" thickBot="1">
      <c r="A192" s="22"/>
      <c r="B192" s="28"/>
      <c r="C192" s="22"/>
      <c r="D192" s="19" t="str">
        <f t="shared" si="31"/>
        <v/>
      </c>
      <c r="E192">
        <v>169</v>
      </c>
      <c r="J192" s="5" t="str">
        <f>IF(A192&lt;&gt;"",VLOOKUP(A192,Setting!A$11:B$50,2,FALSE),"")</f>
        <v/>
      </c>
      <c r="K192" s="20"/>
      <c r="L192" s="5" t="str">
        <f t="shared" si="32"/>
        <v/>
      </c>
      <c r="M192" t="str">
        <f t="shared" si="33"/>
        <v/>
      </c>
      <c r="N192" s="21" t="str">
        <f t="shared" si="34"/>
        <v/>
      </c>
      <c r="O192" s="26" t="str">
        <f t="shared" si="35"/>
        <v/>
      </c>
    </row>
    <row r="193" spans="1:15" ht="17.25" customHeight="1" thickBot="1">
      <c r="A193" s="22"/>
      <c r="B193" s="28"/>
      <c r="C193" s="22"/>
      <c r="D193" s="19" t="str">
        <f t="shared" si="31"/>
        <v/>
      </c>
      <c r="E193">
        <v>170</v>
      </c>
      <c r="J193" s="5" t="str">
        <f>IF(A193&lt;&gt;"",VLOOKUP(A193,Setting!A$11:B$50,2,FALSE),"")</f>
        <v/>
      </c>
      <c r="K193" s="20"/>
      <c r="L193" s="5" t="str">
        <f t="shared" si="32"/>
        <v/>
      </c>
      <c r="M193" t="str">
        <f t="shared" si="33"/>
        <v/>
      </c>
      <c r="N193" s="21" t="str">
        <f t="shared" si="34"/>
        <v/>
      </c>
      <c r="O193" s="26" t="str">
        <f t="shared" si="35"/>
        <v/>
      </c>
    </row>
    <row r="194" spans="1:15" ht="17.25" customHeight="1" thickBot="1">
      <c r="A194" s="22"/>
      <c r="B194" s="28"/>
      <c r="C194" s="22"/>
      <c r="D194" s="19" t="str">
        <f t="shared" si="31"/>
        <v/>
      </c>
      <c r="E194">
        <v>171</v>
      </c>
      <c r="J194" s="5" t="str">
        <f>IF(A194&lt;&gt;"",VLOOKUP(A194,Setting!A$11:B$50,2,FALSE),"")</f>
        <v/>
      </c>
      <c r="K194" s="20"/>
      <c r="L194" s="5" t="str">
        <f t="shared" si="32"/>
        <v/>
      </c>
      <c r="M194" t="str">
        <f t="shared" si="33"/>
        <v/>
      </c>
      <c r="N194" s="21" t="str">
        <f t="shared" si="34"/>
        <v/>
      </c>
      <c r="O194" s="26" t="str">
        <f t="shared" si="35"/>
        <v/>
      </c>
    </row>
    <row r="195" spans="1:15" ht="17.25" customHeight="1" thickBot="1">
      <c r="A195" s="22"/>
      <c r="B195" s="28"/>
      <c r="C195" s="22"/>
      <c r="D195" s="19" t="str">
        <f t="shared" si="31"/>
        <v/>
      </c>
      <c r="E195">
        <v>172</v>
      </c>
      <c r="J195" s="5" t="str">
        <f>IF(A195&lt;&gt;"",VLOOKUP(A195,Setting!A$11:B$50,2,FALSE),"")</f>
        <v/>
      </c>
      <c r="K195" s="20"/>
      <c r="L195" s="5" t="str">
        <f t="shared" si="32"/>
        <v/>
      </c>
      <c r="M195" t="str">
        <f t="shared" si="33"/>
        <v/>
      </c>
      <c r="N195" s="21" t="str">
        <f t="shared" si="34"/>
        <v/>
      </c>
      <c r="O195" s="26" t="str">
        <f t="shared" si="35"/>
        <v/>
      </c>
    </row>
    <row r="196" spans="1:15" ht="17.25" customHeight="1" thickBot="1">
      <c r="A196" s="22"/>
      <c r="B196" s="28"/>
      <c r="C196" s="22"/>
      <c r="D196" s="19" t="str">
        <f t="shared" si="31"/>
        <v/>
      </c>
      <c r="E196">
        <v>173</v>
      </c>
      <c r="J196" s="5" t="str">
        <f>IF(A196&lt;&gt;"",VLOOKUP(A196,Setting!A$11:B$50,2,FALSE),"")</f>
        <v/>
      </c>
      <c r="K196" s="20"/>
      <c r="L196" s="5" t="str">
        <f t="shared" si="32"/>
        <v/>
      </c>
      <c r="M196" t="str">
        <f t="shared" si="33"/>
        <v/>
      </c>
      <c r="N196" s="21" t="str">
        <f t="shared" si="34"/>
        <v/>
      </c>
      <c r="O196" s="26" t="str">
        <f t="shared" si="35"/>
        <v/>
      </c>
    </row>
    <row r="197" spans="1:15" ht="17.25" customHeight="1" thickBot="1">
      <c r="A197" s="22"/>
      <c r="B197" s="28"/>
      <c r="C197" s="22"/>
      <c r="D197" s="19" t="str">
        <f t="shared" si="31"/>
        <v/>
      </c>
      <c r="E197">
        <v>174</v>
      </c>
      <c r="J197" s="5" t="str">
        <f>IF(A197&lt;&gt;"",VLOOKUP(A197,Setting!A$11:B$50,2,FALSE),"")</f>
        <v/>
      </c>
      <c r="K197" s="20"/>
      <c r="L197" s="5" t="str">
        <f t="shared" si="32"/>
        <v/>
      </c>
      <c r="M197" t="str">
        <f t="shared" si="33"/>
        <v/>
      </c>
      <c r="N197" s="21" t="str">
        <f t="shared" si="34"/>
        <v/>
      </c>
      <c r="O197" s="26" t="str">
        <f t="shared" si="35"/>
        <v/>
      </c>
    </row>
    <row r="198" spans="1:15" ht="17.25" customHeight="1" thickBot="1">
      <c r="A198" s="22"/>
      <c r="B198" s="28"/>
      <c r="C198" s="22"/>
      <c r="D198" s="19" t="str">
        <f t="shared" si="31"/>
        <v/>
      </c>
      <c r="E198">
        <v>175</v>
      </c>
      <c r="J198" s="5" t="str">
        <f>IF(A198&lt;&gt;"",VLOOKUP(A198,Setting!A$11:B$50,2,FALSE),"")</f>
        <v/>
      </c>
      <c r="K198" s="20"/>
      <c r="L198" s="5" t="str">
        <f t="shared" si="32"/>
        <v/>
      </c>
      <c r="M198" t="str">
        <f t="shared" si="33"/>
        <v/>
      </c>
      <c r="N198" s="21" t="str">
        <f t="shared" si="34"/>
        <v/>
      </c>
      <c r="O198" s="26" t="str">
        <f t="shared" si="35"/>
        <v/>
      </c>
    </row>
    <row r="199" spans="1:15" ht="17.25" customHeight="1" thickBot="1">
      <c r="A199" s="22"/>
      <c r="B199" s="28"/>
      <c r="C199" s="22"/>
      <c r="D199" s="19" t="str">
        <f t="shared" si="31"/>
        <v/>
      </c>
      <c r="E199">
        <v>176</v>
      </c>
      <c r="J199" s="5" t="str">
        <f>IF(A199&lt;&gt;"",VLOOKUP(A199,Setting!A$11:B$50,2,FALSE),"")</f>
        <v/>
      </c>
      <c r="K199" s="20"/>
      <c r="L199" s="5" t="str">
        <f t="shared" si="32"/>
        <v/>
      </c>
      <c r="M199" t="str">
        <f t="shared" si="33"/>
        <v/>
      </c>
      <c r="N199" s="21" t="str">
        <f t="shared" si="34"/>
        <v/>
      </c>
      <c r="O199" s="26" t="str">
        <f t="shared" si="35"/>
        <v/>
      </c>
    </row>
    <row r="200" spans="1:15" ht="17.25" customHeight="1" thickBot="1">
      <c r="A200" s="22"/>
      <c r="B200" s="28"/>
      <c r="C200" s="22"/>
      <c r="D200" s="19" t="str">
        <f t="shared" si="31"/>
        <v/>
      </c>
      <c r="E200">
        <v>177</v>
      </c>
      <c r="J200" s="5" t="str">
        <f>IF(A200&lt;&gt;"",VLOOKUP(A200,Setting!A$11:B$50,2,FALSE),"")</f>
        <v/>
      </c>
      <c r="K200" s="20"/>
      <c r="L200" s="5" t="str">
        <f t="shared" si="32"/>
        <v/>
      </c>
      <c r="M200" t="str">
        <f t="shared" si="33"/>
        <v/>
      </c>
      <c r="N200" s="21" t="str">
        <f t="shared" si="34"/>
        <v/>
      </c>
      <c r="O200" s="26" t="str">
        <f t="shared" si="35"/>
        <v/>
      </c>
    </row>
    <row r="201" spans="1:15" ht="17.25" customHeight="1" thickBot="1">
      <c r="A201" s="22"/>
      <c r="B201" s="28"/>
      <c r="C201" s="22"/>
      <c r="D201" s="19" t="str">
        <f t="shared" si="31"/>
        <v/>
      </c>
      <c r="E201">
        <v>178</v>
      </c>
      <c r="J201" s="5" t="str">
        <f>IF(A201&lt;&gt;"",VLOOKUP(A201,Setting!A$11:B$50,2,FALSE),"")</f>
        <v/>
      </c>
      <c r="K201" s="20"/>
      <c r="L201" s="5" t="str">
        <f t="shared" si="32"/>
        <v/>
      </c>
      <c r="M201" t="str">
        <f t="shared" si="33"/>
        <v/>
      </c>
      <c r="N201" s="21" t="str">
        <f t="shared" si="34"/>
        <v/>
      </c>
      <c r="O201" s="26" t="str">
        <f t="shared" si="35"/>
        <v/>
      </c>
    </row>
    <row r="202" spans="1:15" ht="17.25" customHeight="1" thickBot="1">
      <c r="A202" s="22"/>
      <c r="B202" s="28"/>
      <c r="C202" s="22"/>
      <c r="D202" s="19" t="str">
        <f t="shared" si="31"/>
        <v/>
      </c>
      <c r="E202">
        <v>179</v>
      </c>
      <c r="J202" s="5" t="str">
        <f>IF(A202&lt;&gt;"",VLOOKUP(A202,Setting!A$11:B$50,2,FALSE),"")</f>
        <v/>
      </c>
      <c r="K202" s="20"/>
      <c r="L202" s="5" t="str">
        <f t="shared" si="32"/>
        <v/>
      </c>
      <c r="M202" t="str">
        <f t="shared" si="33"/>
        <v/>
      </c>
      <c r="N202" s="21" t="str">
        <f t="shared" si="34"/>
        <v/>
      </c>
      <c r="O202" s="26" t="str">
        <f t="shared" si="35"/>
        <v/>
      </c>
    </row>
    <row r="203" spans="1:15" ht="17.25" customHeight="1" thickBot="1">
      <c r="A203" s="22"/>
      <c r="B203" s="28"/>
      <c r="C203" s="22"/>
      <c r="D203" s="19" t="str">
        <f t="shared" si="31"/>
        <v/>
      </c>
      <c r="E203">
        <v>180</v>
      </c>
      <c r="J203" s="5" t="str">
        <f>IF(A203&lt;&gt;"",VLOOKUP(A203,Setting!A$11:B$50,2,FALSE),"")</f>
        <v/>
      </c>
      <c r="K203" s="20"/>
      <c r="L203" s="5" t="str">
        <f t="shared" si="32"/>
        <v/>
      </c>
      <c r="M203" t="str">
        <f t="shared" si="33"/>
        <v/>
      </c>
      <c r="N203" s="21" t="str">
        <f t="shared" si="34"/>
        <v/>
      </c>
      <c r="O203" s="26" t="str">
        <f t="shared" si="35"/>
        <v/>
      </c>
    </row>
    <row r="204" spans="1:15" ht="17.25" customHeight="1" thickBot="1">
      <c r="A204" s="22"/>
      <c r="B204" s="28"/>
      <c r="C204" s="22"/>
      <c r="D204" s="19" t="str">
        <f t="shared" si="31"/>
        <v/>
      </c>
      <c r="E204">
        <v>181</v>
      </c>
      <c r="J204" s="5" t="str">
        <f>IF(A204&lt;&gt;"",VLOOKUP(A204,Setting!A$11:B$50,2,FALSE),"")</f>
        <v/>
      </c>
      <c r="K204" s="20"/>
      <c r="L204" s="5" t="str">
        <f t="shared" si="32"/>
        <v/>
      </c>
      <c r="M204" t="str">
        <f t="shared" si="33"/>
        <v/>
      </c>
      <c r="N204" s="21" t="str">
        <f t="shared" si="34"/>
        <v/>
      </c>
      <c r="O204" s="26" t="str">
        <f t="shared" si="35"/>
        <v/>
      </c>
    </row>
    <row r="205" spans="1:15" ht="17.25" customHeight="1" thickBot="1">
      <c r="A205" s="22"/>
      <c r="B205" s="28"/>
      <c r="D205" s="19" t="str">
        <f t="shared" si="31"/>
        <v/>
      </c>
      <c r="E205">
        <v>182</v>
      </c>
      <c r="J205" s="5" t="str">
        <f>IF(A205&lt;&gt;"",VLOOKUP(A205,Setting!A$11:B$50,2,FALSE),"")</f>
        <v/>
      </c>
      <c r="K205" s="20"/>
      <c r="L205" s="5" t="str">
        <f t="shared" si="32"/>
        <v/>
      </c>
      <c r="M205" t="str">
        <f t="shared" si="33"/>
        <v/>
      </c>
      <c r="N205" s="21" t="str">
        <f t="shared" si="34"/>
        <v/>
      </c>
      <c r="O205" s="26" t="str">
        <f t="shared" si="35"/>
        <v/>
      </c>
    </row>
    <row r="206" spans="1:15" ht="17.25" customHeight="1" thickBot="1">
      <c r="A206" s="22"/>
      <c r="B206" s="28"/>
      <c r="D206" s="19" t="str">
        <f t="shared" si="31"/>
        <v/>
      </c>
      <c r="E206">
        <v>183</v>
      </c>
      <c r="J206" s="5" t="str">
        <f>IF(A206&lt;&gt;"",VLOOKUP(A206,Setting!A$11:B$50,2,FALSE),"")</f>
        <v/>
      </c>
      <c r="K206" s="20"/>
      <c r="L206" s="5" t="str">
        <f t="shared" si="32"/>
        <v/>
      </c>
      <c r="M206" t="str">
        <f t="shared" si="33"/>
        <v/>
      </c>
      <c r="N206" s="21" t="str">
        <f t="shared" si="34"/>
        <v/>
      </c>
      <c r="O206" s="26" t="str">
        <f t="shared" si="35"/>
        <v/>
      </c>
    </row>
    <row r="207" spans="1:15" ht="17.25" customHeight="1" thickBot="1">
      <c r="A207" s="22"/>
      <c r="B207" s="28"/>
      <c r="D207" s="19" t="str">
        <f t="shared" si="31"/>
        <v/>
      </c>
      <c r="E207">
        <v>184</v>
      </c>
      <c r="J207" s="5" t="str">
        <f>IF(A207&lt;&gt;"",VLOOKUP(A207,Setting!A$11:B$50,2,FALSE),"")</f>
        <v/>
      </c>
      <c r="K207" s="20"/>
      <c r="L207" s="5" t="str">
        <f t="shared" si="32"/>
        <v/>
      </c>
      <c r="M207" t="str">
        <f t="shared" si="33"/>
        <v/>
      </c>
      <c r="N207" s="21" t="str">
        <f t="shared" si="34"/>
        <v/>
      </c>
      <c r="O207" s="26" t="str">
        <f t="shared" si="35"/>
        <v/>
      </c>
    </row>
    <row r="208" spans="1:15" ht="17.25" customHeight="1" thickBot="1">
      <c r="A208" s="22"/>
      <c r="B208" s="28"/>
      <c r="D208" s="19" t="str">
        <f t="shared" si="31"/>
        <v/>
      </c>
      <c r="E208">
        <v>185</v>
      </c>
      <c r="J208" s="5" t="str">
        <f>IF(A208&lt;&gt;"",VLOOKUP(A208,Setting!A$11:B$50,2,FALSE),"")</f>
        <v/>
      </c>
      <c r="K208" s="20"/>
      <c r="L208" s="5" t="str">
        <f t="shared" si="32"/>
        <v/>
      </c>
      <c r="M208" t="str">
        <f t="shared" si="33"/>
        <v/>
      </c>
      <c r="N208" s="21" t="str">
        <f t="shared" si="34"/>
        <v/>
      </c>
      <c r="O208" s="26" t="str">
        <f t="shared" si="35"/>
        <v/>
      </c>
    </row>
    <row r="209" spans="1:15" ht="17.25" customHeight="1" thickBot="1">
      <c r="A209" s="22"/>
      <c r="B209" s="28"/>
      <c r="D209" s="19" t="str">
        <f t="shared" si="31"/>
        <v/>
      </c>
      <c r="E209">
        <v>186</v>
      </c>
      <c r="J209" s="5" t="str">
        <f>IF(A209&lt;&gt;"",VLOOKUP(A209,Setting!A$11:B$50,2,FALSE),"")</f>
        <v/>
      </c>
      <c r="K209" s="20"/>
      <c r="L209" s="5" t="str">
        <f t="shared" si="32"/>
        <v/>
      </c>
      <c r="M209" t="str">
        <f t="shared" si="33"/>
        <v/>
      </c>
      <c r="N209" s="21" t="str">
        <f t="shared" si="34"/>
        <v/>
      </c>
      <c r="O209" s="26" t="str">
        <f t="shared" si="35"/>
        <v/>
      </c>
    </row>
    <row r="210" spans="1:15" ht="17.25" customHeight="1" thickBot="1">
      <c r="A210" s="22"/>
      <c r="B210" s="28"/>
      <c r="D210" s="19" t="str">
        <f t="shared" si="31"/>
        <v/>
      </c>
      <c r="E210">
        <v>187</v>
      </c>
      <c r="J210" s="5" t="str">
        <f>IF(A210&lt;&gt;"",VLOOKUP(A210,Setting!A$11:B$50,2,FALSE),"")</f>
        <v/>
      </c>
      <c r="K210" s="20"/>
      <c r="L210" s="5" t="str">
        <f t="shared" si="32"/>
        <v/>
      </c>
      <c r="M210" t="str">
        <f t="shared" si="33"/>
        <v/>
      </c>
      <c r="N210" s="21" t="str">
        <f t="shared" si="34"/>
        <v/>
      </c>
      <c r="O210" s="26" t="str">
        <f t="shared" si="35"/>
        <v/>
      </c>
    </row>
    <row r="211" spans="1:15" ht="17.25" customHeight="1" thickBot="1">
      <c r="A211" s="22"/>
      <c r="B211" s="28"/>
      <c r="D211" s="19" t="str">
        <f t="shared" si="31"/>
        <v/>
      </c>
      <c r="E211">
        <v>188</v>
      </c>
      <c r="J211" s="5" t="str">
        <f>IF(A211&lt;&gt;"",VLOOKUP(A211,Setting!A$11:B$50,2,FALSE),"")</f>
        <v/>
      </c>
      <c r="K211" s="20"/>
      <c r="L211" s="5" t="str">
        <f t="shared" si="32"/>
        <v/>
      </c>
      <c r="M211" t="str">
        <f t="shared" si="33"/>
        <v/>
      </c>
      <c r="N211" s="21" t="str">
        <f t="shared" si="34"/>
        <v/>
      </c>
      <c r="O211" s="26" t="str">
        <f t="shared" si="35"/>
        <v/>
      </c>
    </row>
    <row r="212" spans="1:15" ht="17.25" customHeight="1" thickBot="1">
      <c r="A212" s="22"/>
      <c r="B212" s="28"/>
      <c r="C212" s="22"/>
      <c r="D212" s="19" t="str">
        <f t="shared" si="31"/>
        <v/>
      </c>
      <c r="E212">
        <v>189</v>
      </c>
      <c r="J212" s="5" t="str">
        <f>IF(A212&lt;&gt;"",VLOOKUP(A212,Setting!A$11:B$50,2,FALSE),"")</f>
        <v/>
      </c>
      <c r="K212" s="20"/>
      <c r="L212" s="5" t="str">
        <f t="shared" si="32"/>
        <v/>
      </c>
      <c r="M212" t="str">
        <f t="shared" si="33"/>
        <v/>
      </c>
      <c r="N212" s="21" t="str">
        <f t="shared" si="34"/>
        <v/>
      </c>
      <c r="O212" s="26" t="str">
        <f t="shared" si="35"/>
        <v/>
      </c>
    </row>
    <row r="213" spans="1:15" ht="17.25" customHeight="1" thickBot="1">
      <c r="A213" s="22"/>
      <c r="B213" s="28"/>
      <c r="C213" s="22"/>
      <c r="D213" s="19" t="str">
        <f t="shared" si="31"/>
        <v/>
      </c>
      <c r="E213">
        <v>190</v>
      </c>
      <c r="J213" s="5" t="str">
        <f>IF(A213&lt;&gt;"",VLOOKUP(A213,Setting!A$11:B$50,2,FALSE),"")</f>
        <v/>
      </c>
      <c r="K213" s="20"/>
      <c r="L213" s="5" t="str">
        <f t="shared" si="32"/>
        <v/>
      </c>
      <c r="M213" t="str">
        <f t="shared" si="33"/>
        <v/>
      </c>
      <c r="N213" s="21" t="str">
        <f t="shared" si="34"/>
        <v/>
      </c>
      <c r="O213" s="26" t="str">
        <f t="shared" si="35"/>
        <v/>
      </c>
    </row>
    <row r="214" spans="1:15" ht="17.25" customHeight="1" thickBot="1">
      <c r="A214" s="22"/>
      <c r="B214" s="28"/>
      <c r="C214" s="22"/>
      <c r="D214" s="19" t="str">
        <f t="shared" si="31"/>
        <v/>
      </c>
      <c r="E214">
        <v>191</v>
      </c>
      <c r="J214" s="5" t="str">
        <f>IF(A214&lt;&gt;"",VLOOKUP(A214,Setting!A$11:B$50,2,FALSE),"")</f>
        <v/>
      </c>
      <c r="K214" s="20"/>
      <c r="L214" s="5" t="str">
        <f t="shared" si="32"/>
        <v/>
      </c>
      <c r="M214" t="str">
        <f t="shared" si="33"/>
        <v/>
      </c>
      <c r="N214" s="21" t="str">
        <f t="shared" si="34"/>
        <v/>
      </c>
      <c r="O214" s="26" t="str">
        <f t="shared" si="35"/>
        <v/>
      </c>
    </row>
    <row r="215" spans="1:15" ht="17.25" customHeight="1" thickBot="1">
      <c r="A215" s="22"/>
      <c r="B215" s="28"/>
      <c r="C215" s="22"/>
      <c r="D215" s="19" t="str">
        <f t="shared" si="31"/>
        <v/>
      </c>
      <c r="E215">
        <v>192</v>
      </c>
      <c r="J215" s="5" t="str">
        <f>IF(A215&lt;&gt;"",VLOOKUP(A215,Setting!A$11:B$50,2,FALSE),"")</f>
        <v/>
      </c>
      <c r="K215" s="20"/>
      <c r="L215" s="5" t="str">
        <f t="shared" si="32"/>
        <v/>
      </c>
      <c r="M215" t="str">
        <f t="shared" si="33"/>
        <v/>
      </c>
      <c r="N215" s="21" t="str">
        <f t="shared" si="34"/>
        <v/>
      </c>
      <c r="O215" s="26" t="str">
        <f t="shared" si="35"/>
        <v/>
      </c>
    </row>
    <row r="216" spans="1:15" ht="17.25" customHeight="1" thickBot="1">
      <c r="A216" s="22"/>
      <c r="B216" s="28"/>
      <c r="C216" s="22"/>
      <c r="D216" s="19" t="str">
        <f t="shared" si="31"/>
        <v/>
      </c>
      <c r="E216">
        <v>193</v>
      </c>
      <c r="J216" s="5" t="str">
        <f>IF(A216&lt;&gt;"",VLOOKUP(A216,Setting!A$11:B$50,2,FALSE),"")</f>
        <v/>
      </c>
      <c r="K216" s="20"/>
      <c r="L216" s="5" t="str">
        <f t="shared" si="32"/>
        <v/>
      </c>
      <c r="M216" t="str">
        <f t="shared" si="33"/>
        <v/>
      </c>
      <c r="N216" s="21" t="str">
        <f t="shared" ref="N216:N218" si="36">IF(A216&lt;&gt;"",IF(AND( $A$20="Random", OR( $C216&lt;=0,$C216="")),"Error",""),"")</f>
        <v/>
      </c>
      <c r="O216" s="26" t="str">
        <f t="shared" ref="O216:O218" si="37" xml:space="preserve"> IF(A216&lt;&gt;"",IF(ISERROR(J216),"Error",IF(ISERROR(K216),"Error",IF(ISERROR(M216),"Error",""))),"")</f>
        <v/>
      </c>
    </row>
    <row r="217" spans="1:15" ht="17.25" customHeight="1" thickBot="1">
      <c r="A217" s="22"/>
      <c r="B217" s="28"/>
      <c r="C217" s="22"/>
      <c r="D217" s="19" t="str">
        <f t="shared" ref="D217:D264" si="38">IF($A$20="Random",IF(C217&lt;&gt;"",C217/$C$22,""),"把A20改成Random")</f>
        <v/>
      </c>
      <c r="E217">
        <v>194</v>
      </c>
      <c r="J217" s="5" t="str">
        <f>IF(A217&lt;&gt;"",VLOOKUP(A217,Setting!A$11:B$50,2,FALSE),"")</f>
        <v/>
      </c>
      <c r="K217" s="20"/>
      <c r="L217" s="5" t="str">
        <f t="shared" ref="L217:L280" si="39">IF(D217&lt;&gt;"",TEXT(D217,"0.0%"),"")</f>
        <v/>
      </c>
      <c r="M217" t="str">
        <f t="shared" ref="M217:M280" si="40">IF(J217&lt;&gt;"",IF(ISERROR(K217)=FALSE,J217&amp;":"&amp;K217&amp;" ("&amp;L217&amp;")","Error"),"")</f>
        <v/>
      </c>
      <c r="N217" s="21" t="str">
        <f t="shared" si="36"/>
        <v/>
      </c>
      <c r="O217" s="26" t="str">
        <f t="shared" si="37"/>
        <v/>
      </c>
    </row>
    <row r="218" spans="1:15" ht="17.25" customHeight="1" thickBot="1">
      <c r="A218" s="22"/>
      <c r="B218" s="28"/>
      <c r="C218" s="22"/>
      <c r="D218" s="19" t="str">
        <f t="shared" si="38"/>
        <v/>
      </c>
      <c r="E218">
        <v>195</v>
      </c>
      <c r="J218" s="5" t="str">
        <f>IF(A218&lt;&gt;"",VLOOKUP(A218,Setting!A$11:B$50,2,FALSE),"")</f>
        <v/>
      </c>
      <c r="K218" s="20"/>
      <c r="L218" s="5" t="str">
        <f t="shared" si="39"/>
        <v/>
      </c>
      <c r="M218" t="str">
        <f t="shared" si="40"/>
        <v/>
      </c>
      <c r="N218" s="21" t="str">
        <f t="shared" si="36"/>
        <v/>
      </c>
      <c r="O218" s="26" t="str">
        <f t="shared" si="37"/>
        <v/>
      </c>
    </row>
    <row r="219" spans="1:15" ht="17.25" customHeight="1" thickBot="1">
      <c r="A219" s="22"/>
      <c r="B219" s="28"/>
      <c r="C219" s="22"/>
      <c r="D219" s="19" t="str">
        <f t="shared" si="38"/>
        <v/>
      </c>
      <c r="E219">
        <v>196</v>
      </c>
      <c r="J219" s="5" t="str">
        <f>IF(A219&lt;&gt;"",VLOOKUP(A219,Setting!A$11:B$50,2,FALSE),"")</f>
        <v/>
      </c>
      <c r="K219" s="20"/>
      <c r="L219" s="5" t="str">
        <f t="shared" si="39"/>
        <v/>
      </c>
      <c r="M219" t="str">
        <f t="shared" si="40"/>
        <v/>
      </c>
      <c r="N219" s="21" t="str">
        <f t="shared" ref="N219:N253" si="41">IF(A219&lt;&gt;"",IF(AND( $A$20="Random", OR( $C219&lt;=0,$C219="")),"Error",""),"")</f>
        <v/>
      </c>
      <c r="O219" s="26" t="str">
        <f t="shared" ref="O219:O252" si="42" xml:space="preserve"> IF(A219&lt;&gt;"",IF(ISERROR(J219),"Error",IF(ISERROR(K219),"Error",IF(ISERROR(M219),"Error",""))),"")</f>
        <v/>
      </c>
    </row>
    <row r="220" spans="1:15" ht="17.25" customHeight="1" thickBot="1">
      <c r="A220" s="22"/>
      <c r="B220" s="28"/>
      <c r="C220" s="22"/>
      <c r="D220" s="19" t="str">
        <f t="shared" si="38"/>
        <v/>
      </c>
      <c r="E220">
        <v>197</v>
      </c>
      <c r="J220" s="5" t="str">
        <f>IF(A220&lt;&gt;"",VLOOKUP(A220,Setting!A$11:B$50,2,FALSE),"")</f>
        <v/>
      </c>
      <c r="K220" s="20"/>
      <c r="L220" s="5" t="str">
        <f t="shared" si="39"/>
        <v/>
      </c>
      <c r="M220" t="str">
        <f t="shared" si="40"/>
        <v/>
      </c>
      <c r="N220" s="21" t="str">
        <f t="shared" si="41"/>
        <v/>
      </c>
      <c r="O220" s="26" t="str">
        <f t="shared" si="42"/>
        <v/>
      </c>
    </row>
    <row r="221" spans="1:15" ht="17.25" customHeight="1" thickBot="1">
      <c r="A221" s="22"/>
      <c r="B221" s="28"/>
      <c r="C221" s="22"/>
      <c r="D221" s="19" t="str">
        <f t="shared" si="38"/>
        <v/>
      </c>
      <c r="E221">
        <v>198</v>
      </c>
      <c r="J221" s="5" t="str">
        <f>IF(A221&lt;&gt;"",VLOOKUP(A221,Setting!A$11:B$50,2,FALSE),"")</f>
        <v/>
      </c>
      <c r="K221" s="20"/>
      <c r="L221" s="5" t="str">
        <f t="shared" si="39"/>
        <v/>
      </c>
      <c r="M221" t="str">
        <f t="shared" si="40"/>
        <v/>
      </c>
      <c r="N221" s="21" t="str">
        <f t="shared" si="41"/>
        <v/>
      </c>
      <c r="O221" s="26" t="str">
        <f t="shared" si="42"/>
        <v/>
      </c>
    </row>
    <row r="222" spans="1:15" ht="17.25" customHeight="1" thickBot="1">
      <c r="A222" s="22"/>
      <c r="B222" s="28"/>
      <c r="C222" s="22"/>
      <c r="D222" s="19" t="str">
        <f t="shared" si="38"/>
        <v/>
      </c>
      <c r="E222">
        <v>199</v>
      </c>
      <c r="J222" s="5" t="str">
        <f>IF(A222&lt;&gt;"",VLOOKUP(A222,Setting!A$11:B$50,2,FALSE),"")</f>
        <v/>
      </c>
      <c r="K222" s="20"/>
      <c r="L222" s="5" t="str">
        <f t="shared" si="39"/>
        <v/>
      </c>
      <c r="M222" t="str">
        <f t="shared" si="40"/>
        <v/>
      </c>
      <c r="N222" s="21" t="str">
        <f t="shared" si="41"/>
        <v/>
      </c>
      <c r="O222" s="26" t="str">
        <f t="shared" si="42"/>
        <v/>
      </c>
    </row>
    <row r="223" spans="1:15" ht="17.25" customHeight="1" thickBot="1">
      <c r="A223" s="22"/>
      <c r="B223" s="28"/>
      <c r="C223" s="22"/>
      <c r="D223" s="19" t="str">
        <f t="shared" si="38"/>
        <v/>
      </c>
      <c r="E223">
        <v>200</v>
      </c>
      <c r="J223" s="5" t="str">
        <f>IF(A223&lt;&gt;"",VLOOKUP(A223,Setting!A$11:B$50,2,FALSE),"")</f>
        <v/>
      </c>
      <c r="K223" s="20"/>
      <c r="L223" s="5" t="str">
        <f t="shared" si="39"/>
        <v/>
      </c>
      <c r="M223" t="str">
        <f t="shared" si="40"/>
        <v/>
      </c>
      <c r="N223" s="21" t="str">
        <f t="shared" si="41"/>
        <v/>
      </c>
      <c r="O223" s="26" t="str">
        <f t="shared" si="42"/>
        <v/>
      </c>
    </row>
    <row r="224" spans="1:15" ht="17.25" customHeight="1" thickBot="1">
      <c r="A224" s="22"/>
      <c r="B224" s="28"/>
      <c r="C224" s="22"/>
      <c r="D224" s="19" t="str">
        <f t="shared" si="38"/>
        <v/>
      </c>
      <c r="E224">
        <v>201</v>
      </c>
      <c r="J224" s="5" t="str">
        <f>IF(A224&lt;&gt;"",VLOOKUP(A224,Setting!A$11:B$50,2,FALSE),"")</f>
        <v/>
      </c>
      <c r="K224" s="20"/>
      <c r="L224" s="5" t="str">
        <f t="shared" si="39"/>
        <v/>
      </c>
      <c r="M224" t="str">
        <f t="shared" si="40"/>
        <v/>
      </c>
      <c r="N224" s="21" t="str">
        <f t="shared" si="41"/>
        <v/>
      </c>
      <c r="O224" s="26" t="str">
        <f t="shared" si="42"/>
        <v/>
      </c>
    </row>
    <row r="225" spans="1:15" ht="17.25" customHeight="1" thickBot="1">
      <c r="A225" s="22"/>
      <c r="B225" s="28"/>
      <c r="C225" s="22"/>
      <c r="D225" s="19" t="str">
        <f t="shared" si="38"/>
        <v/>
      </c>
      <c r="E225">
        <v>202</v>
      </c>
      <c r="J225" s="5" t="str">
        <f>IF(A225&lt;&gt;"",VLOOKUP(A225,Setting!A$11:B$50,2,FALSE),"")</f>
        <v/>
      </c>
      <c r="K225" s="20"/>
      <c r="L225" s="5" t="str">
        <f t="shared" si="39"/>
        <v/>
      </c>
      <c r="M225" t="str">
        <f t="shared" si="40"/>
        <v/>
      </c>
      <c r="N225" s="21" t="str">
        <f t="shared" si="41"/>
        <v/>
      </c>
      <c r="O225" s="26" t="str">
        <f t="shared" si="42"/>
        <v/>
      </c>
    </row>
    <row r="226" spans="1:15" ht="17.25" customHeight="1" thickBot="1">
      <c r="A226" s="22"/>
      <c r="B226" s="28"/>
      <c r="C226" s="22"/>
      <c r="D226" s="19" t="str">
        <f t="shared" si="38"/>
        <v/>
      </c>
      <c r="E226">
        <v>203</v>
      </c>
      <c r="J226" s="5" t="str">
        <f>IF(A226&lt;&gt;"",VLOOKUP(A226,Setting!A$11:B$50,2,FALSE),"")</f>
        <v/>
      </c>
      <c r="K226" s="20"/>
      <c r="L226" s="5" t="str">
        <f t="shared" si="39"/>
        <v/>
      </c>
      <c r="M226" t="str">
        <f t="shared" si="40"/>
        <v/>
      </c>
      <c r="N226" s="21" t="str">
        <f t="shared" si="41"/>
        <v/>
      </c>
      <c r="O226" s="26" t="str">
        <f t="shared" si="42"/>
        <v/>
      </c>
    </row>
    <row r="227" spans="1:15" ht="17.25" customHeight="1" thickBot="1">
      <c r="A227" s="22"/>
      <c r="B227" s="28"/>
      <c r="C227" s="22"/>
      <c r="D227" s="19" t="str">
        <f t="shared" si="38"/>
        <v/>
      </c>
      <c r="E227">
        <v>204</v>
      </c>
      <c r="J227" s="5" t="str">
        <f>IF(A227&lt;&gt;"",VLOOKUP(A227,Setting!A$11:B$50,2,FALSE),"")</f>
        <v/>
      </c>
      <c r="K227" s="20"/>
      <c r="L227" s="5" t="str">
        <f t="shared" si="39"/>
        <v/>
      </c>
      <c r="M227" t="str">
        <f t="shared" si="40"/>
        <v/>
      </c>
      <c r="N227" s="21" t="str">
        <f t="shared" si="41"/>
        <v/>
      </c>
      <c r="O227" s="26" t="str">
        <f t="shared" si="42"/>
        <v/>
      </c>
    </row>
    <row r="228" spans="1:15" ht="17.25" customHeight="1" thickBot="1">
      <c r="A228" s="22"/>
      <c r="B228" s="28"/>
      <c r="C228" s="22"/>
      <c r="D228" s="19" t="str">
        <f t="shared" si="38"/>
        <v/>
      </c>
      <c r="E228">
        <v>205</v>
      </c>
      <c r="J228" s="5" t="str">
        <f>IF(A228&lt;&gt;"",VLOOKUP(A228,Setting!A$11:B$50,2,FALSE),"")</f>
        <v/>
      </c>
      <c r="K228" s="20"/>
      <c r="L228" s="5" t="str">
        <f t="shared" si="39"/>
        <v/>
      </c>
      <c r="M228" t="str">
        <f t="shared" si="40"/>
        <v/>
      </c>
      <c r="N228" s="21" t="str">
        <f t="shared" si="41"/>
        <v/>
      </c>
      <c r="O228" s="26" t="str">
        <f t="shared" si="42"/>
        <v/>
      </c>
    </row>
    <row r="229" spans="1:15" ht="17.25" customHeight="1" thickBot="1">
      <c r="A229" s="22"/>
      <c r="B229" s="28"/>
      <c r="C229" s="22"/>
      <c r="D229" s="19" t="str">
        <f t="shared" si="38"/>
        <v/>
      </c>
      <c r="E229">
        <v>206</v>
      </c>
      <c r="J229" s="5" t="str">
        <f>IF(A229&lt;&gt;"",VLOOKUP(A229,Setting!A$11:B$50,2,FALSE),"")</f>
        <v/>
      </c>
      <c r="K229" s="20"/>
      <c r="L229" s="5" t="str">
        <f t="shared" si="39"/>
        <v/>
      </c>
      <c r="M229" t="str">
        <f t="shared" si="40"/>
        <v/>
      </c>
      <c r="N229" s="21" t="str">
        <f t="shared" si="41"/>
        <v/>
      </c>
      <c r="O229" s="26" t="str">
        <f t="shared" si="42"/>
        <v/>
      </c>
    </row>
    <row r="230" spans="1:15" ht="17.25" customHeight="1" thickBot="1">
      <c r="A230" s="22"/>
      <c r="B230" s="28"/>
      <c r="C230" s="22"/>
      <c r="D230" s="19" t="str">
        <f t="shared" si="38"/>
        <v/>
      </c>
      <c r="E230">
        <v>207</v>
      </c>
      <c r="J230" s="5" t="str">
        <f>IF(A230&lt;&gt;"",VLOOKUP(A230,Setting!A$11:B$50,2,FALSE),"")</f>
        <v/>
      </c>
      <c r="K230" s="20"/>
      <c r="L230" s="5" t="str">
        <f t="shared" si="39"/>
        <v/>
      </c>
      <c r="M230" t="str">
        <f t="shared" si="40"/>
        <v/>
      </c>
      <c r="N230" s="21" t="str">
        <f t="shared" si="41"/>
        <v/>
      </c>
      <c r="O230" s="26" t="str">
        <f t="shared" si="42"/>
        <v/>
      </c>
    </row>
    <row r="231" spans="1:15" ht="17.25" customHeight="1" thickBot="1">
      <c r="A231" s="22"/>
      <c r="B231" s="28"/>
      <c r="C231" s="22"/>
      <c r="D231" s="19" t="str">
        <f t="shared" si="38"/>
        <v/>
      </c>
      <c r="E231">
        <v>208</v>
      </c>
      <c r="J231" s="5" t="str">
        <f>IF(A231&lt;&gt;"",VLOOKUP(A231,Setting!A$11:B$50,2,FALSE),"")</f>
        <v/>
      </c>
      <c r="K231" s="20"/>
      <c r="L231" s="5" t="str">
        <f t="shared" si="39"/>
        <v/>
      </c>
      <c r="M231" t="str">
        <f t="shared" si="40"/>
        <v/>
      </c>
      <c r="N231" s="21" t="str">
        <f t="shared" si="41"/>
        <v/>
      </c>
      <c r="O231" s="26" t="str">
        <f t="shared" si="42"/>
        <v/>
      </c>
    </row>
    <row r="232" spans="1:15" ht="17.25" customHeight="1" thickBot="1">
      <c r="A232" s="22"/>
      <c r="B232" s="28"/>
      <c r="C232" s="22"/>
      <c r="D232" s="19" t="str">
        <f t="shared" si="38"/>
        <v/>
      </c>
      <c r="E232">
        <v>209</v>
      </c>
      <c r="J232" s="5" t="str">
        <f>IF(A232&lt;&gt;"",VLOOKUP(A232,Setting!A$11:B$50,2,FALSE),"")</f>
        <v/>
      </c>
      <c r="K232" s="20"/>
      <c r="L232" s="5" t="str">
        <f t="shared" si="39"/>
        <v/>
      </c>
      <c r="M232" t="str">
        <f t="shared" si="40"/>
        <v/>
      </c>
      <c r="N232" s="21" t="str">
        <f t="shared" si="41"/>
        <v/>
      </c>
      <c r="O232" s="26" t="str">
        <f t="shared" si="42"/>
        <v/>
      </c>
    </row>
    <row r="233" spans="1:15" ht="17.25" customHeight="1" thickBot="1">
      <c r="A233" s="22"/>
      <c r="B233" s="28"/>
      <c r="C233" s="22"/>
      <c r="D233" s="19" t="str">
        <f t="shared" si="38"/>
        <v/>
      </c>
      <c r="E233">
        <v>210</v>
      </c>
      <c r="J233" s="5" t="str">
        <f>IF(A233&lt;&gt;"",VLOOKUP(A233,Setting!A$11:B$50,2,FALSE),"")</f>
        <v/>
      </c>
      <c r="K233" s="20"/>
      <c r="L233" s="5" t="str">
        <f t="shared" si="39"/>
        <v/>
      </c>
      <c r="M233" t="str">
        <f t="shared" si="40"/>
        <v/>
      </c>
      <c r="N233" s="21" t="str">
        <f t="shared" si="41"/>
        <v/>
      </c>
      <c r="O233" s="26" t="str">
        <f t="shared" si="42"/>
        <v/>
      </c>
    </row>
    <row r="234" spans="1:15" ht="17.25" customHeight="1" thickBot="1">
      <c r="A234" s="22"/>
      <c r="B234" s="28"/>
      <c r="C234" s="22"/>
      <c r="D234" s="19" t="str">
        <f t="shared" si="38"/>
        <v/>
      </c>
      <c r="E234">
        <v>211</v>
      </c>
      <c r="J234" s="5" t="str">
        <f>IF(A234&lt;&gt;"",VLOOKUP(A234,Setting!A$11:B$50,2,FALSE),"")</f>
        <v/>
      </c>
      <c r="K234" s="20"/>
      <c r="L234" s="5" t="str">
        <f t="shared" si="39"/>
        <v/>
      </c>
      <c r="M234" t="str">
        <f t="shared" si="40"/>
        <v/>
      </c>
      <c r="N234" s="21" t="str">
        <f t="shared" si="41"/>
        <v/>
      </c>
      <c r="O234" s="26" t="str">
        <f t="shared" si="42"/>
        <v/>
      </c>
    </row>
    <row r="235" spans="1:15" ht="17.25" customHeight="1" thickBot="1">
      <c r="A235" s="22"/>
      <c r="B235" s="28"/>
      <c r="C235" s="22"/>
      <c r="D235" s="19" t="str">
        <f t="shared" si="38"/>
        <v/>
      </c>
      <c r="E235">
        <v>212</v>
      </c>
      <c r="J235" s="5" t="str">
        <f>IF(A235&lt;&gt;"",VLOOKUP(A235,Setting!A$11:B$50,2,FALSE),"")</f>
        <v/>
      </c>
      <c r="K235" s="20"/>
      <c r="L235" s="5" t="str">
        <f t="shared" si="39"/>
        <v/>
      </c>
      <c r="M235" t="str">
        <f t="shared" si="40"/>
        <v/>
      </c>
      <c r="N235" s="21" t="str">
        <f t="shared" si="41"/>
        <v/>
      </c>
      <c r="O235" s="26" t="str">
        <f t="shared" si="42"/>
        <v/>
      </c>
    </row>
    <row r="236" spans="1:15" ht="17.25" customHeight="1" thickBot="1">
      <c r="A236" s="22"/>
      <c r="B236" s="28"/>
      <c r="C236" s="22"/>
      <c r="D236" s="19" t="str">
        <f t="shared" si="38"/>
        <v/>
      </c>
      <c r="E236">
        <v>213</v>
      </c>
      <c r="J236" s="5" t="str">
        <f>IF(A236&lt;&gt;"",VLOOKUP(A236,Setting!A$11:B$50,2,FALSE),"")</f>
        <v/>
      </c>
      <c r="K236" s="20"/>
      <c r="L236" s="5" t="str">
        <f t="shared" si="39"/>
        <v/>
      </c>
      <c r="M236" t="str">
        <f t="shared" si="40"/>
        <v/>
      </c>
      <c r="N236" s="21" t="str">
        <f t="shared" si="41"/>
        <v/>
      </c>
      <c r="O236" s="26" t="str">
        <f t="shared" si="42"/>
        <v/>
      </c>
    </row>
    <row r="237" spans="1:15" ht="17.25" customHeight="1" thickBot="1">
      <c r="A237" s="22"/>
      <c r="B237" s="28"/>
      <c r="C237" s="22"/>
      <c r="D237" s="19" t="str">
        <f t="shared" si="38"/>
        <v/>
      </c>
      <c r="E237">
        <v>214</v>
      </c>
      <c r="J237" s="5" t="str">
        <f>IF(A237&lt;&gt;"",VLOOKUP(A237,Setting!A$11:B$50,2,FALSE),"")</f>
        <v/>
      </c>
      <c r="K237" s="20"/>
      <c r="L237" s="5" t="str">
        <f t="shared" si="39"/>
        <v/>
      </c>
      <c r="M237" t="str">
        <f t="shared" si="40"/>
        <v/>
      </c>
      <c r="N237" s="21" t="str">
        <f t="shared" si="41"/>
        <v/>
      </c>
      <c r="O237" s="26" t="str">
        <f t="shared" si="42"/>
        <v/>
      </c>
    </row>
    <row r="238" spans="1:15" ht="17.25" customHeight="1" thickBot="1">
      <c r="A238" s="22"/>
      <c r="B238" s="28"/>
      <c r="C238" s="22"/>
      <c r="D238" s="19" t="str">
        <f t="shared" si="38"/>
        <v/>
      </c>
      <c r="E238">
        <v>215</v>
      </c>
      <c r="J238" s="5" t="str">
        <f>IF(A238&lt;&gt;"",VLOOKUP(A238,Setting!A$11:B$50,2,FALSE),"")</f>
        <v/>
      </c>
      <c r="K238" s="20"/>
      <c r="L238" s="5" t="str">
        <f t="shared" si="39"/>
        <v/>
      </c>
      <c r="M238" t="str">
        <f t="shared" si="40"/>
        <v/>
      </c>
      <c r="N238" s="21" t="str">
        <f t="shared" si="41"/>
        <v/>
      </c>
      <c r="O238" s="26" t="str">
        <f t="shared" si="42"/>
        <v/>
      </c>
    </row>
    <row r="239" spans="1:15" ht="17.25" customHeight="1" thickBot="1">
      <c r="A239" s="22"/>
      <c r="B239" s="28"/>
      <c r="C239" s="22"/>
      <c r="D239" s="19" t="str">
        <f t="shared" si="38"/>
        <v/>
      </c>
      <c r="E239">
        <v>216</v>
      </c>
      <c r="J239" s="5" t="str">
        <f>IF(A239&lt;&gt;"",VLOOKUP(A239,Setting!A$11:B$50,2,FALSE),"")</f>
        <v/>
      </c>
      <c r="K239" s="20"/>
      <c r="L239" s="5" t="str">
        <f t="shared" si="39"/>
        <v/>
      </c>
      <c r="M239" t="str">
        <f t="shared" si="40"/>
        <v/>
      </c>
      <c r="N239" s="21" t="str">
        <f t="shared" si="41"/>
        <v/>
      </c>
      <c r="O239" s="26" t="str">
        <f t="shared" si="42"/>
        <v/>
      </c>
    </row>
    <row r="240" spans="1:15" ht="17.25" customHeight="1" thickBot="1">
      <c r="A240" s="22"/>
      <c r="B240" s="28"/>
      <c r="C240" s="22"/>
      <c r="D240" s="19" t="str">
        <f t="shared" si="38"/>
        <v/>
      </c>
      <c r="E240">
        <v>217</v>
      </c>
      <c r="J240" s="5" t="str">
        <f>IF(A240&lt;&gt;"",VLOOKUP(A240,Setting!A$11:B$50,2,FALSE),"")</f>
        <v/>
      </c>
      <c r="K240" s="20"/>
      <c r="L240" s="5" t="str">
        <f t="shared" si="39"/>
        <v/>
      </c>
      <c r="M240" t="str">
        <f t="shared" si="40"/>
        <v/>
      </c>
      <c r="N240" s="21" t="str">
        <f t="shared" si="41"/>
        <v/>
      </c>
      <c r="O240" s="26" t="str">
        <f t="shared" si="42"/>
        <v/>
      </c>
    </row>
    <row r="241" spans="1:15" ht="17.25" customHeight="1" thickBot="1">
      <c r="A241" s="22"/>
      <c r="B241" s="28"/>
      <c r="C241" s="22"/>
      <c r="D241" s="19" t="str">
        <f t="shared" si="38"/>
        <v/>
      </c>
      <c r="E241">
        <v>218</v>
      </c>
      <c r="J241" s="5" t="str">
        <f>IF(A241&lt;&gt;"",VLOOKUP(A241,Setting!A$11:B$50,2,FALSE),"")</f>
        <v/>
      </c>
      <c r="K241" s="20"/>
      <c r="L241" s="5" t="str">
        <f t="shared" si="39"/>
        <v/>
      </c>
      <c r="M241" t="str">
        <f t="shared" si="40"/>
        <v/>
      </c>
      <c r="N241" s="21" t="str">
        <f t="shared" si="41"/>
        <v/>
      </c>
      <c r="O241" s="26" t="str">
        <f t="shared" si="42"/>
        <v/>
      </c>
    </row>
    <row r="242" spans="1:15" ht="17.25" customHeight="1" thickBot="1">
      <c r="A242" s="22"/>
      <c r="B242" s="28"/>
      <c r="C242" s="22"/>
      <c r="D242" s="19" t="str">
        <f t="shared" si="38"/>
        <v/>
      </c>
      <c r="E242">
        <v>219</v>
      </c>
      <c r="J242" s="5" t="str">
        <f>IF(A242&lt;&gt;"",VLOOKUP(A242,Setting!A$11:B$50,2,FALSE),"")</f>
        <v/>
      </c>
      <c r="K242" s="20"/>
      <c r="L242" s="5" t="str">
        <f t="shared" si="39"/>
        <v/>
      </c>
      <c r="M242" t="str">
        <f t="shared" si="40"/>
        <v/>
      </c>
      <c r="N242" s="21" t="str">
        <f t="shared" si="41"/>
        <v/>
      </c>
      <c r="O242" s="26" t="str">
        <f t="shared" si="42"/>
        <v/>
      </c>
    </row>
    <row r="243" spans="1:15" ht="17.25" customHeight="1" thickBot="1">
      <c r="A243" s="22"/>
      <c r="B243" s="28"/>
      <c r="C243" s="22"/>
      <c r="D243" s="19" t="str">
        <f t="shared" si="38"/>
        <v/>
      </c>
      <c r="E243">
        <v>220</v>
      </c>
      <c r="J243" s="5" t="str">
        <f>IF(A243&lt;&gt;"",VLOOKUP(A243,Setting!A$11:B$50,2,FALSE),"")</f>
        <v/>
      </c>
      <c r="K243" s="20"/>
      <c r="L243" s="5" t="str">
        <f t="shared" si="39"/>
        <v/>
      </c>
      <c r="M243" t="str">
        <f t="shared" si="40"/>
        <v/>
      </c>
      <c r="N243" s="21" t="str">
        <f t="shared" si="41"/>
        <v/>
      </c>
      <c r="O243" s="26" t="str">
        <f t="shared" si="42"/>
        <v/>
      </c>
    </row>
    <row r="244" spans="1:15" ht="17.25" customHeight="1" thickBot="1">
      <c r="A244" s="22"/>
      <c r="B244" s="28"/>
      <c r="C244" s="22"/>
      <c r="D244" s="19" t="str">
        <f t="shared" si="38"/>
        <v/>
      </c>
      <c r="E244">
        <v>221</v>
      </c>
      <c r="J244" s="5" t="str">
        <f>IF(A244&lt;&gt;"",VLOOKUP(A244,Setting!A$11:B$50,2,FALSE),"")</f>
        <v/>
      </c>
      <c r="K244" s="20"/>
      <c r="L244" s="5" t="str">
        <f t="shared" si="39"/>
        <v/>
      </c>
      <c r="M244" t="str">
        <f t="shared" si="40"/>
        <v/>
      </c>
      <c r="N244" s="21" t="str">
        <f t="shared" si="41"/>
        <v/>
      </c>
      <c r="O244" s="26" t="str">
        <f t="shared" si="42"/>
        <v/>
      </c>
    </row>
    <row r="245" spans="1:15" ht="17.25" customHeight="1" thickBot="1">
      <c r="A245" s="22"/>
      <c r="B245" s="28"/>
      <c r="C245" s="22"/>
      <c r="D245" s="19" t="str">
        <f t="shared" si="38"/>
        <v/>
      </c>
      <c r="E245">
        <v>222</v>
      </c>
      <c r="J245" s="5" t="str">
        <f>IF(A245&lt;&gt;"",VLOOKUP(A245,Setting!A$11:B$50,2,FALSE),"")</f>
        <v/>
      </c>
      <c r="K245" s="20"/>
      <c r="L245" s="5" t="str">
        <f t="shared" si="39"/>
        <v/>
      </c>
      <c r="M245" t="str">
        <f t="shared" si="40"/>
        <v/>
      </c>
      <c r="N245" s="21" t="str">
        <f t="shared" si="41"/>
        <v/>
      </c>
      <c r="O245" s="26" t="str">
        <f t="shared" si="42"/>
        <v/>
      </c>
    </row>
    <row r="246" spans="1:15" ht="17.25" customHeight="1" thickBot="1">
      <c r="A246" s="22"/>
      <c r="B246" s="28"/>
      <c r="C246" s="22"/>
      <c r="D246" s="19" t="str">
        <f t="shared" si="38"/>
        <v/>
      </c>
      <c r="E246">
        <v>223</v>
      </c>
      <c r="J246" s="5" t="str">
        <f>IF(A246&lt;&gt;"",VLOOKUP(A246,Setting!A$11:B$50,2,FALSE),"")</f>
        <v/>
      </c>
      <c r="K246" s="20"/>
      <c r="L246" s="5" t="str">
        <f t="shared" si="39"/>
        <v/>
      </c>
      <c r="M246" t="str">
        <f t="shared" si="40"/>
        <v/>
      </c>
      <c r="N246" s="21" t="str">
        <f t="shared" si="41"/>
        <v/>
      </c>
      <c r="O246" s="26" t="str">
        <f t="shared" si="42"/>
        <v/>
      </c>
    </row>
    <row r="247" spans="1:15" ht="17.25" customHeight="1" thickBot="1">
      <c r="A247" s="22"/>
      <c r="B247" s="28"/>
      <c r="C247" s="22"/>
      <c r="D247" s="19" t="str">
        <f t="shared" si="38"/>
        <v/>
      </c>
      <c r="E247">
        <v>224</v>
      </c>
      <c r="J247" s="5" t="str">
        <f>IF(A247&lt;&gt;"",VLOOKUP(A247,Setting!A$11:B$50,2,FALSE),"")</f>
        <v/>
      </c>
      <c r="K247" s="20"/>
      <c r="L247" s="5" t="str">
        <f t="shared" si="39"/>
        <v/>
      </c>
      <c r="M247" t="str">
        <f t="shared" si="40"/>
        <v/>
      </c>
      <c r="N247" s="21" t="str">
        <f t="shared" si="41"/>
        <v/>
      </c>
      <c r="O247" s="26" t="str">
        <f t="shared" si="42"/>
        <v/>
      </c>
    </row>
    <row r="248" spans="1:15" ht="17.25" customHeight="1" thickBot="1">
      <c r="A248" s="22"/>
      <c r="B248" s="28"/>
      <c r="C248" s="22"/>
      <c r="D248" s="19" t="str">
        <f t="shared" si="38"/>
        <v/>
      </c>
      <c r="E248">
        <v>225</v>
      </c>
      <c r="J248" s="5" t="str">
        <f>IF(A248&lt;&gt;"",VLOOKUP(A248,Setting!A$11:B$50,2,FALSE),"")</f>
        <v/>
      </c>
      <c r="K248" s="20"/>
      <c r="L248" s="5" t="str">
        <f t="shared" si="39"/>
        <v/>
      </c>
      <c r="M248" t="str">
        <f t="shared" si="40"/>
        <v/>
      </c>
      <c r="N248" s="21" t="str">
        <f t="shared" si="41"/>
        <v/>
      </c>
      <c r="O248" s="26" t="str">
        <f t="shared" si="42"/>
        <v/>
      </c>
    </row>
    <row r="249" spans="1:15" ht="17.25" customHeight="1" thickBot="1">
      <c r="A249" s="22"/>
      <c r="B249" s="28"/>
      <c r="C249" s="22"/>
      <c r="D249" s="19" t="str">
        <f t="shared" si="38"/>
        <v/>
      </c>
      <c r="E249">
        <v>226</v>
      </c>
      <c r="J249" s="5" t="str">
        <f>IF(A249&lt;&gt;"",VLOOKUP(A249,Setting!A$11:B$50,2,FALSE),"")</f>
        <v/>
      </c>
      <c r="K249" s="20"/>
      <c r="L249" s="5" t="str">
        <f t="shared" si="39"/>
        <v/>
      </c>
      <c r="M249" t="str">
        <f t="shared" si="40"/>
        <v/>
      </c>
      <c r="N249" s="21" t="str">
        <f t="shared" si="41"/>
        <v/>
      </c>
      <c r="O249" s="26" t="str">
        <f t="shared" si="42"/>
        <v/>
      </c>
    </row>
    <row r="250" spans="1:15" ht="17.25" customHeight="1" thickBot="1">
      <c r="A250" s="22"/>
      <c r="B250" s="28"/>
      <c r="C250" s="22"/>
      <c r="D250" s="19" t="str">
        <f t="shared" si="38"/>
        <v/>
      </c>
      <c r="E250">
        <v>227</v>
      </c>
      <c r="J250" s="5" t="str">
        <f>IF(A250&lt;&gt;"",VLOOKUP(A250,Setting!A$11:B$50,2,FALSE),"")</f>
        <v/>
      </c>
      <c r="K250" s="20"/>
      <c r="L250" s="5" t="str">
        <f t="shared" si="39"/>
        <v/>
      </c>
      <c r="M250" t="str">
        <f t="shared" si="40"/>
        <v/>
      </c>
      <c r="N250" s="21" t="str">
        <f t="shared" si="41"/>
        <v/>
      </c>
      <c r="O250" s="26" t="str">
        <f t="shared" si="42"/>
        <v/>
      </c>
    </row>
    <row r="251" spans="1:15" ht="17.25" customHeight="1" thickBot="1">
      <c r="A251" s="22"/>
      <c r="B251" s="28"/>
      <c r="C251" s="22"/>
      <c r="D251" s="19" t="str">
        <f t="shared" si="38"/>
        <v/>
      </c>
      <c r="E251">
        <v>228</v>
      </c>
      <c r="J251" s="5" t="str">
        <f>IF(A251&lt;&gt;"",VLOOKUP(A251,Setting!A$11:B$50,2,FALSE),"")</f>
        <v/>
      </c>
      <c r="K251" s="20"/>
      <c r="L251" s="5" t="str">
        <f t="shared" si="39"/>
        <v/>
      </c>
      <c r="M251" t="str">
        <f t="shared" si="40"/>
        <v/>
      </c>
      <c r="N251" s="21" t="str">
        <f t="shared" si="41"/>
        <v/>
      </c>
      <c r="O251" s="26" t="str">
        <f t="shared" si="42"/>
        <v/>
      </c>
    </row>
    <row r="252" spans="1:15" ht="17.25" customHeight="1" thickBot="1">
      <c r="A252" s="22"/>
      <c r="B252" s="28"/>
      <c r="C252" s="22"/>
      <c r="D252" s="19" t="str">
        <f t="shared" si="38"/>
        <v/>
      </c>
      <c r="E252">
        <v>229</v>
      </c>
      <c r="J252" s="5" t="str">
        <f>IF(A252&lt;&gt;"",VLOOKUP(A252,Setting!A$11:B$50,2,FALSE),"")</f>
        <v/>
      </c>
      <c r="K252" s="20"/>
      <c r="L252" s="5" t="str">
        <f t="shared" si="39"/>
        <v/>
      </c>
      <c r="M252" t="str">
        <f t="shared" si="40"/>
        <v/>
      </c>
      <c r="N252" s="21" t="str">
        <f t="shared" si="41"/>
        <v/>
      </c>
      <c r="O252" s="26" t="str">
        <f t="shared" si="42"/>
        <v/>
      </c>
    </row>
    <row r="253" spans="1:15" ht="17.25" customHeight="1" thickBot="1">
      <c r="A253" s="22"/>
      <c r="B253" s="28"/>
      <c r="C253" s="22"/>
      <c r="D253" s="19" t="str">
        <f t="shared" si="38"/>
        <v/>
      </c>
      <c r="E253">
        <v>230</v>
      </c>
      <c r="J253" s="5" t="str">
        <f>IF(A253&lt;&gt;"",VLOOKUP(A253,Setting!A$11:B$50,2,FALSE),"")</f>
        <v/>
      </c>
      <c r="K253" s="20"/>
      <c r="L253" s="5" t="str">
        <f t="shared" si="39"/>
        <v/>
      </c>
      <c r="M253" t="str">
        <f t="shared" si="40"/>
        <v/>
      </c>
      <c r="N253" s="21" t="str">
        <f t="shared" si="41"/>
        <v/>
      </c>
      <c r="O253" s="26" t="str">
        <f t="shared" ref="O253:O258" si="43" xml:space="preserve"> IF(A253&lt;&gt;"",IF(ISERROR(J253),"Error",IF(ISERROR(K253),"Error",IF(ISERROR(M253),"Error",""))),"")</f>
        <v/>
      </c>
    </row>
    <row r="254" spans="1:15" ht="17.25" customHeight="1" thickBot="1">
      <c r="A254" s="22"/>
      <c r="B254" s="28"/>
      <c r="C254" s="22"/>
      <c r="D254" s="19" t="str">
        <f t="shared" si="38"/>
        <v/>
      </c>
      <c r="E254">
        <v>231</v>
      </c>
      <c r="J254" s="5" t="str">
        <f>IF(A254&lt;&gt;"",VLOOKUP(A254,Setting!A$11:B$50,2,FALSE),"")</f>
        <v/>
      </c>
      <c r="K254" s="20"/>
      <c r="L254" s="5" t="str">
        <f t="shared" si="39"/>
        <v/>
      </c>
      <c r="M254" t="str">
        <f t="shared" si="40"/>
        <v/>
      </c>
      <c r="N254" s="21" t="str">
        <f t="shared" ref="N254:N258" si="44">IF(A254&lt;&gt;"",IF(AND( $A$20="Random", OR( $C254&lt;=0,$C254="")),"Error",""),"")</f>
        <v/>
      </c>
      <c r="O254" s="26" t="str">
        <f t="shared" si="43"/>
        <v/>
      </c>
    </row>
    <row r="255" spans="1:15" ht="17.25" customHeight="1" thickBot="1">
      <c r="A255" s="22"/>
      <c r="B255" s="28"/>
      <c r="C255" s="22"/>
      <c r="D255" s="19" t="str">
        <f t="shared" si="38"/>
        <v/>
      </c>
      <c r="E255">
        <v>232</v>
      </c>
      <c r="J255" s="5" t="str">
        <f>IF(A255&lt;&gt;"",VLOOKUP(A255,Setting!A$11:B$50,2,FALSE),"")</f>
        <v/>
      </c>
      <c r="K255" s="20"/>
      <c r="L255" s="5" t="str">
        <f t="shared" si="39"/>
        <v/>
      </c>
      <c r="M255" t="str">
        <f t="shared" si="40"/>
        <v/>
      </c>
      <c r="N255" s="21" t="str">
        <f t="shared" si="44"/>
        <v/>
      </c>
      <c r="O255" s="26" t="str">
        <f t="shared" si="43"/>
        <v/>
      </c>
    </row>
    <row r="256" spans="1:15" ht="17.25" customHeight="1" thickBot="1">
      <c r="A256" s="22"/>
      <c r="B256" s="28"/>
      <c r="C256" s="22"/>
      <c r="D256" s="19" t="str">
        <f t="shared" si="38"/>
        <v/>
      </c>
      <c r="E256">
        <v>233</v>
      </c>
      <c r="J256" s="5" t="str">
        <f>IF(A256&lt;&gt;"",VLOOKUP(A256,Setting!A$11:B$50,2,FALSE),"")</f>
        <v/>
      </c>
      <c r="K256" s="20"/>
      <c r="L256" s="5" t="str">
        <f t="shared" si="39"/>
        <v/>
      </c>
      <c r="M256" t="str">
        <f t="shared" si="40"/>
        <v/>
      </c>
      <c r="N256" s="21" t="str">
        <f t="shared" si="44"/>
        <v/>
      </c>
      <c r="O256" s="26" t="str">
        <f t="shared" si="43"/>
        <v/>
      </c>
    </row>
    <row r="257" spans="1:15" ht="17.25" customHeight="1" thickBot="1">
      <c r="A257" s="22"/>
      <c r="B257" s="28"/>
      <c r="C257" s="22"/>
      <c r="D257" s="19" t="str">
        <f t="shared" si="38"/>
        <v/>
      </c>
      <c r="E257">
        <v>234</v>
      </c>
      <c r="J257" s="5" t="str">
        <f>IF(A257&lt;&gt;"",VLOOKUP(A257,Setting!A$11:B$50,2,FALSE),"")</f>
        <v/>
      </c>
      <c r="K257" s="20"/>
      <c r="L257" s="5" t="str">
        <f t="shared" si="39"/>
        <v/>
      </c>
      <c r="M257" t="str">
        <f t="shared" si="40"/>
        <v/>
      </c>
      <c r="N257" s="21" t="str">
        <f t="shared" si="44"/>
        <v/>
      </c>
      <c r="O257" s="26" t="str">
        <f t="shared" si="43"/>
        <v/>
      </c>
    </row>
    <row r="258" spans="1:15" ht="17.25" customHeight="1" thickBot="1">
      <c r="A258" s="22"/>
      <c r="B258" s="28"/>
      <c r="C258" s="22"/>
      <c r="D258" s="19" t="str">
        <f t="shared" si="38"/>
        <v/>
      </c>
      <c r="E258">
        <v>235</v>
      </c>
      <c r="J258" s="5" t="str">
        <f>IF(A258&lt;&gt;"",VLOOKUP(A258,Setting!A$11:B$50,2,FALSE),"")</f>
        <v/>
      </c>
      <c r="K258" s="20"/>
      <c r="L258" s="5" t="str">
        <f t="shared" si="39"/>
        <v/>
      </c>
      <c r="M258" t="str">
        <f t="shared" si="40"/>
        <v/>
      </c>
      <c r="N258" s="21" t="str">
        <f t="shared" si="44"/>
        <v/>
      </c>
      <c r="O258" s="26" t="str">
        <f t="shared" si="43"/>
        <v/>
      </c>
    </row>
    <row r="259" spans="1:15" ht="17.25" customHeight="1" thickBot="1">
      <c r="A259" s="22"/>
      <c r="B259" s="28"/>
      <c r="C259" s="22"/>
      <c r="D259" s="19" t="str">
        <f t="shared" si="38"/>
        <v/>
      </c>
      <c r="E259">
        <v>236</v>
      </c>
      <c r="J259" s="5" t="str">
        <f>IF(A259&lt;&gt;"",VLOOKUP(A259,Setting!A$11:B$50,2,FALSE),"")</f>
        <v/>
      </c>
      <c r="K259" s="20"/>
      <c r="L259" s="5" t="str">
        <f t="shared" si="39"/>
        <v/>
      </c>
      <c r="M259" t="str">
        <f t="shared" si="40"/>
        <v/>
      </c>
      <c r="N259" s="21"/>
      <c r="O259" s="26"/>
    </row>
    <row r="260" spans="1:15" ht="17.25" customHeight="1" thickBot="1">
      <c r="A260" s="22"/>
      <c r="B260" s="28"/>
      <c r="C260" s="22"/>
      <c r="D260" s="19" t="str">
        <f t="shared" si="38"/>
        <v/>
      </c>
      <c r="E260">
        <v>237</v>
      </c>
      <c r="J260" s="5" t="str">
        <f>IF(A260&lt;&gt;"",VLOOKUP(A260,Setting!A$11:B$50,2,FALSE),"")</f>
        <v/>
      </c>
      <c r="K260" s="20"/>
      <c r="L260" s="5" t="str">
        <f t="shared" si="39"/>
        <v/>
      </c>
      <c r="M260" t="str">
        <f t="shared" si="40"/>
        <v/>
      </c>
      <c r="N260" s="21"/>
      <c r="O260" s="26"/>
    </row>
    <row r="261" spans="1:15" ht="17.25" customHeight="1" thickBot="1">
      <c r="A261" s="22"/>
      <c r="B261" s="28"/>
      <c r="C261" s="22"/>
      <c r="D261" s="19" t="str">
        <f t="shared" si="38"/>
        <v/>
      </c>
      <c r="E261">
        <v>238</v>
      </c>
      <c r="J261" s="5" t="str">
        <f>IF(A261&lt;&gt;"",VLOOKUP(A261,Setting!A$11:B$50,2,FALSE),"")</f>
        <v/>
      </c>
      <c r="K261" s="20"/>
      <c r="L261" s="5" t="str">
        <f t="shared" si="39"/>
        <v/>
      </c>
      <c r="M261" t="str">
        <f t="shared" si="40"/>
        <v/>
      </c>
      <c r="N261" s="21"/>
      <c r="O261" s="26"/>
    </row>
    <row r="262" spans="1:15" ht="17.25" customHeight="1" thickBot="1">
      <c r="A262" s="22"/>
      <c r="B262" s="28"/>
      <c r="C262" s="22"/>
      <c r="D262" s="19" t="str">
        <f t="shared" si="38"/>
        <v/>
      </c>
      <c r="E262">
        <v>239</v>
      </c>
      <c r="J262" s="5" t="str">
        <f>IF(A262&lt;&gt;"",VLOOKUP(A262,Setting!A$11:B$50,2,FALSE),"")</f>
        <v/>
      </c>
      <c r="K262" s="20"/>
      <c r="L262" s="5" t="str">
        <f t="shared" si="39"/>
        <v/>
      </c>
      <c r="M262" t="str">
        <f t="shared" si="40"/>
        <v/>
      </c>
      <c r="N262" s="21"/>
      <c r="O262" s="26"/>
    </row>
    <row r="263" spans="1:15" ht="17.25" customHeight="1" thickBot="1">
      <c r="A263" s="22"/>
      <c r="B263" s="28"/>
      <c r="C263" s="22"/>
      <c r="D263" s="19" t="str">
        <f t="shared" si="38"/>
        <v/>
      </c>
      <c r="E263">
        <v>240</v>
      </c>
      <c r="J263" s="5" t="str">
        <f>IF(A263&lt;&gt;"",VLOOKUP(A263,Setting!A$11:B$50,2,FALSE),"")</f>
        <v/>
      </c>
      <c r="K263" s="20"/>
      <c r="L263" s="5" t="str">
        <f t="shared" si="39"/>
        <v/>
      </c>
      <c r="M263" t="str">
        <f t="shared" si="40"/>
        <v/>
      </c>
      <c r="N263" s="21"/>
      <c r="O263" s="26"/>
    </row>
    <row r="264" spans="1:15" ht="17.25" customHeight="1" thickBot="1">
      <c r="A264" s="22"/>
      <c r="B264" s="28"/>
      <c r="C264" s="22"/>
      <c r="D264" s="19" t="str">
        <f t="shared" si="38"/>
        <v/>
      </c>
      <c r="E264">
        <v>241</v>
      </c>
      <c r="J264" s="5" t="str">
        <f>IF(A264&lt;&gt;"",VLOOKUP(A264,Setting!A$11:B$50,2,FALSE),"")</f>
        <v/>
      </c>
      <c r="K264" s="20"/>
      <c r="L264" s="5" t="str">
        <f t="shared" si="39"/>
        <v/>
      </c>
      <c r="M264" t="str">
        <f t="shared" si="40"/>
        <v/>
      </c>
      <c r="N264" s="21"/>
      <c r="O264" s="26"/>
    </row>
    <row r="265" spans="1:15" ht="17.25" customHeight="1">
      <c r="A265" s="22"/>
      <c r="B265" s="27"/>
      <c r="C265" s="22"/>
      <c r="D265" s="19"/>
      <c r="E265">
        <v>242</v>
      </c>
      <c r="F265" s="5"/>
      <c r="G265" s="20"/>
      <c r="H265" s="5"/>
      <c r="J265" s="5" t="str">
        <f>IF(A265&lt;&gt;"",VLOOKUP(A265,Setting!A$11:B$50,2,FALSE),"")</f>
        <v/>
      </c>
      <c r="K265" s="20"/>
      <c r="L265" s="5" t="str">
        <f t="shared" si="39"/>
        <v/>
      </c>
      <c r="M265" t="str">
        <f t="shared" si="40"/>
        <v/>
      </c>
      <c r="N265" s="21"/>
      <c r="O265" s="26"/>
    </row>
    <row r="266" spans="1:15" ht="17.25" customHeight="1">
      <c r="A266" s="22"/>
      <c r="B266" s="27"/>
      <c r="C266" s="22"/>
      <c r="D266" s="19"/>
      <c r="F266" s="5"/>
      <c r="G266" s="20"/>
      <c r="H266" s="5"/>
      <c r="J266" s="5" t="str">
        <f>IF(A266&lt;&gt;"",VLOOKUP(A266,Setting!A$11:B$50,2,FALSE),"")</f>
        <v/>
      </c>
      <c r="K266" s="20"/>
      <c r="L266" s="5" t="str">
        <f t="shared" si="39"/>
        <v/>
      </c>
      <c r="M266" t="str">
        <f t="shared" si="40"/>
        <v/>
      </c>
      <c r="N266" s="21"/>
      <c r="O266" s="26"/>
    </row>
    <row r="267" spans="1:15" ht="17.25" customHeight="1">
      <c r="A267" s="22"/>
      <c r="B267" s="27"/>
      <c r="C267" s="22"/>
      <c r="D267" s="19"/>
      <c r="F267" s="5"/>
      <c r="G267" s="20"/>
      <c r="H267" s="5"/>
      <c r="J267" s="5" t="str">
        <f>IF(A267&lt;&gt;"",VLOOKUP(A267,Setting!A$11:B$50,2,FALSE),"")</f>
        <v/>
      </c>
      <c r="K267" s="20"/>
      <c r="L267" s="5" t="str">
        <f t="shared" si="39"/>
        <v/>
      </c>
      <c r="M267" t="str">
        <f t="shared" si="40"/>
        <v/>
      </c>
      <c r="N267" s="21"/>
      <c r="O267" s="26"/>
    </row>
    <row r="268" spans="1:15" ht="17.25" customHeight="1">
      <c r="A268" s="22"/>
      <c r="B268" s="27"/>
      <c r="C268" s="22"/>
      <c r="D268" s="19"/>
      <c r="F268" s="5"/>
      <c r="G268" s="20"/>
      <c r="H268" s="5"/>
      <c r="J268" s="5" t="str">
        <f>IF(A268&lt;&gt;"",VLOOKUP(A268,Setting!A$11:B$50,2,FALSE),"")</f>
        <v/>
      </c>
      <c r="K268" s="20"/>
      <c r="L268" s="5" t="str">
        <f t="shared" si="39"/>
        <v/>
      </c>
      <c r="M268" t="str">
        <f t="shared" si="40"/>
        <v/>
      </c>
      <c r="N268" s="21"/>
      <c r="O268" s="26"/>
    </row>
    <row r="269" spans="1:15" ht="17.25" customHeight="1">
      <c r="A269" s="22"/>
      <c r="B269" s="27"/>
      <c r="C269" s="22"/>
      <c r="D269" s="19"/>
      <c r="F269" s="5"/>
      <c r="G269" s="20"/>
      <c r="H269" s="5"/>
      <c r="J269" s="5" t="str">
        <f>IF(A269&lt;&gt;"",VLOOKUP(A269,Setting!A$11:B$50,2,FALSE),"")</f>
        <v/>
      </c>
      <c r="K269" s="20"/>
      <c r="L269" s="5" t="str">
        <f t="shared" si="39"/>
        <v/>
      </c>
      <c r="M269" t="str">
        <f t="shared" si="40"/>
        <v/>
      </c>
      <c r="N269" s="21"/>
      <c r="O269" s="26"/>
    </row>
    <row r="270" spans="1:15" ht="17.25" customHeight="1">
      <c r="A270" s="22"/>
      <c r="B270" s="27"/>
      <c r="C270" s="22"/>
      <c r="D270" s="19"/>
      <c r="F270" s="5"/>
      <c r="G270" s="20"/>
      <c r="H270" s="5"/>
      <c r="J270" s="5" t="str">
        <f>IF(A270&lt;&gt;"",VLOOKUP(A270,Setting!A$11:B$50,2,FALSE),"")</f>
        <v/>
      </c>
      <c r="K270" s="20"/>
      <c r="L270" s="5" t="str">
        <f t="shared" si="39"/>
        <v/>
      </c>
      <c r="M270" t="str">
        <f t="shared" si="40"/>
        <v/>
      </c>
      <c r="N270" s="21"/>
      <c r="O270" s="26"/>
    </row>
    <row r="271" spans="1:15" ht="17.25" customHeight="1">
      <c r="A271" s="22"/>
      <c r="B271" s="27"/>
      <c r="C271" s="22"/>
      <c r="D271" s="19"/>
      <c r="F271" s="5"/>
      <c r="G271" s="20"/>
      <c r="H271" s="5"/>
      <c r="J271" s="5" t="str">
        <f>IF(A271&lt;&gt;"",VLOOKUP(A271,Setting!A$11:B$50,2,FALSE),"")</f>
        <v/>
      </c>
      <c r="K271" s="20"/>
      <c r="L271" s="5" t="str">
        <f t="shared" si="39"/>
        <v/>
      </c>
      <c r="M271" t="str">
        <f t="shared" si="40"/>
        <v/>
      </c>
      <c r="N271" s="21"/>
      <c r="O271" s="26"/>
    </row>
    <row r="272" spans="1:15" ht="17.25" customHeight="1">
      <c r="A272" s="22"/>
      <c r="B272" s="27"/>
      <c r="C272" s="22"/>
      <c r="D272" s="19"/>
      <c r="F272" s="5"/>
      <c r="G272" s="20"/>
      <c r="H272" s="5"/>
      <c r="J272" s="5" t="str">
        <f>IF(A272&lt;&gt;"",VLOOKUP(A272,Setting!A$11:B$50,2,FALSE),"")</f>
        <v/>
      </c>
      <c r="K272" s="20"/>
      <c r="L272" s="5" t="str">
        <f t="shared" si="39"/>
        <v/>
      </c>
      <c r="M272" t="str">
        <f t="shared" si="40"/>
        <v/>
      </c>
      <c r="N272" s="21"/>
      <c r="O272" s="26"/>
    </row>
    <row r="273" spans="1:15" ht="17.25" customHeight="1">
      <c r="A273" s="22"/>
      <c r="B273" s="27"/>
      <c r="C273" s="22"/>
      <c r="D273" s="19"/>
      <c r="F273" s="5"/>
      <c r="G273" s="20"/>
      <c r="H273" s="5"/>
      <c r="J273" s="5" t="str">
        <f>IF(A273&lt;&gt;"",VLOOKUP(A273,Setting!A$11:B$50,2,FALSE),"")</f>
        <v/>
      </c>
      <c r="K273" s="20"/>
      <c r="L273" s="5" t="str">
        <f t="shared" si="39"/>
        <v/>
      </c>
      <c r="M273" t="str">
        <f t="shared" si="40"/>
        <v/>
      </c>
      <c r="N273" s="21"/>
      <c r="O273" s="26"/>
    </row>
    <row r="274" spans="1:15" ht="17.25" customHeight="1">
      <c r="A274" s="22"/>
      <c r="B274" s="27"/>
      <c r="C274" s="22"/>
      <c r="D274" s="19"/>
      <c r="F274" s="5"/>
      <c r="G274" s="20"/>
      <c r="H274" s="5"/>
      <c r="J274" s="5" t="str">
        <f>IF(A274&lt;&gt;"",VLOOKUP(A274,Setting!A$11:B$50,2,FALSE),"")</f>
        <v/>
      </c>
      <c r="K274" s="20"/>
      <c r="L274" s="5" t="str">
        <f t="shared" si="39"/>
        <v/>
      </c>
      <c r="M274" t="str">
        <f t="shared" si="40"/>
        <v/>
      </c>
      <c r="N274" s="21"/>
      <c r="O274" s="26"/>
    </row>
    <row r="275" spans="1:15" ht="17.25" customHeight="1">
      <c r="A275" s="22"/>
      <c r="B275" s="27"/>
      <c r="C275" s="22"/>
      <c r="D275" s="19"/>
      <c r="F275" s="5"/>
      <c r="G275" s="20"/>
      <c r="H275" s="5"/>
      <c r="J275" s="5" t="str">
        <f>IF(A275&lt;&gt;"",VLOOKUP(A275,Setting!A$11:B$50,2,FALSE),"")</f>
        <v/>
      </c>
      <c r="K275" s="20"/>
      <c r="L275" s="5" t="str">
        <f t="shared" si="39"/>
        <v/>
      </c>
      <c r="M275" t="str">
        <f t="shared" si="40"/>
        <v/>
      </c>
      <c r="N275" s="21"/>
      <c r="O275" s="26"/>
    </row>
    <row r="276" spans="1:15" ht="17.25" customHeight="1">
      <c r="A276" s="22"/>
      <c r="B276" s="27"/>
      <c r="C276" s="22"/>
      <c r="D276" s="19"/>
      <c r="F276" s="5"/>
      <c r="G276" s="20"/>
      <c r="H276" s="5"/>
      <c r="J276" s="5" t="str">
        <f>IF(A276&lt;&gt;"",VLOOKUP(A276,Setting!A$11:B$50,2,FALSE),"")</f>
        <v/>
      </c>
      <c r="K276" s="20"/>
      <c r="L276" s="5" t="str">
        <f t="shared" si="39"/>
        <v/>
      </c>
      <c r="M276" t="str">
        <f t="shared" si="40"/>
        <v/>
      </c>
      <c r="N276" s="21"/>
      <c r="O276" s="26"/>
    </row>
    <row r="277" spans="1:15" ht="17.25" customHeight="1">
      <c r="A277" s="22"/>
      <c r="B277" s="27"/>
      <c r="C277" s="22"/>
      <c r="D277" s="19"/>
      <c r="F277" s="5"/>
      <c r="G277" s="20"/>
      <c r="H277" s="5"/>
      <c r="J277" s="5" t="str">
        <f>IF(A277&lt;&gt;"",VLOOKUP(A277,Setting!A$11:B$50,2,FALSE),"")</f>
        <v/>
      </c>
      <c r="K277" s="20"/>
      <c r="L277" s="5" t="str">
        <f t="shared" si="39"/>
        <v/>
      </c>
      <c r="M277" t="str">
        <f t="shared" si="40"/>
        <v/>
      </c>
      <c r="N277" s="21"/>
      <c r="O277" s="26"/>
    </row>
    <row r="278" spans="1:15" ht="17.25" customHeight="1">
      <c r="A278" s="22"/>
      <c r="B278" s="27"/>
      <c r="C278" s="22"/>
      <c r="D278" s="19"/>
      <c r="F278" s="5"/>
      <c r="G278" s="20"/>
      <c r="H278" s="5"/>
      <c r="J278" s="5" t="str">
        <f>IF(A278&lt;&gt;"",VLOOKUP(A278,Setting!A$11:B$50,2,FALSE),"")</f>
        <v/>
      </c>
      <c r="K278" s="20"/>
      <c r="L278" s="5" t="str">
        <f t="shared" si="39"/>
        <v/>
      </c>
      <c r="M278" t="str">
        <f t="shared" si="40"/>
        <v/>
      </c>
      <c r="N278" s="21"/>
      <c r="O278" s="26"/>
    </row>
    <row r="279" spans="1:15" ht="17.25" customHeight="1">
      <c r="A279" s="22"/>
      <c r="B279" s="27"/>
      <c r="C279" s="22"/>
      <c r="D279" s="19"/>
      <c r="F279" s="5"/>
      <c r="G279" s="20"/>
      <c r="H279" s="5"/>
      <c r="J279" s="5" t="str">
        <f>IF(A279&lt;&gt;"",VLOOKUP(A279,Setting!A$11:B$50,2,FALSE),"")</f>
        <v/>
      </c>
      <c r="K279" s="20"/>
      <c r="L279" s="5" t="str">
        <f t="shared" si="39"/>
        <v/>
      </c>
      <c r="M279" t="str">
        <f t="shared" si="40"/>
        <v/>
      </c>
      <c r="N279" s="21"/>
      <c r="O279" s="26"/>
    </row>
    <row r="280" spans="1:15" ht="17.25" customHeight="1">
      <c r="A280" s="22"/>
      <c r="B280" s="27"/>
      <c r="C280" s="22"/>
      <c r="D280" s="19"/>
      <c r="F280" s="5"/>
      <c r="G280" s="20"/>
      <c r="H280" s="5"/>
      <c r="J280" s="5" t="str">
        <f>IF(A280&lt;&gt;"",VLOOKUP(A280,Setting!A$11:B$50,2,FALSE),"")</f>
        <v/>
      </c>
      <c r="K280" s="20"/>
      <c r="L280" s="5" t="str">
        <f t="shared" si="39"/>
        <v/>
      </c>
      <c r="M280" t="str">
        <f t="shared" si="40"/>
        <v/>
      </c>
      <c r="N280" s="21"/>
      <c r="O280" s="26"/>
    </row>
    <row r="281" spans="1:15" ht="17.25" customHeight="1">
      <c r="A281" s="22"/>
      <c r="B281" s="27"/>
      <c r="C281" s="22"/>
      <c r="D281" s="19"/>
      <c r="F281" s="5"/>
      <c r="G281" s="20"/>
      <c r="H281" s="5"/>
      <c r="J281" s="5" t="str">
        <f>IF(A281&lt;&gt;"",VLOOKUP(A281,Setting!A$11:B$50,2,FALSE),"")</f>
        <v/>
      </c>
      <c r="K281" s="20"/>
      <c r="L281" s="5" t="str">
        <f t="shared" ref="L281:L344" si="45">IF(D281&lt;&gt;"",TEXT(D281,"0.0%"),"")</f>
        <v/>
      </c>
      <c r="M281" t="str">
        <f t="shared" ref="M281:M344" si="46">IF(J281&lt;&gt;"",IF(ISERROR(K281)=FALSE,J281&amp;":"&amp;K281&amp;" ("&amp;L281&amp;")","Error"),"")</f>
        <v/>
      </c>
      <c r="N281" s="21"/>
      <c r="O281" s="26"/>
    </row>
    <row r="282" spans="1:15" ht="17.25" customHeight="1">
      <c r="A282" s="22"/>
      <c r="B282" s="27"/>
      <c r="C282" s="22"/>
      <c r="D282" s="19"/>
      <c r="F282" s="5"/>
      <c r="G282" s="20"/>
      <c r="H282" s="5"/>
      <c r="J282" s="5" t="str">
        <f>IF(A282&lt;&gt;"",VLOOKUP(A282,Setting!A$11:B$50,2,FALSE),"")</f>
        <v/>
      </c>
      <c r="K282" s="20"/>
      <c r="L282" s="5" t="str">
        <f t="shared" si="45"/>
        <v/>
      </c>
      <c r="M282" t="str">
        <f t="shared" si="46"/>
        <v/>
      </c>
      <c r="N282" s="21"/>
      <c r="O282" s="26"/>
    </row>
    <row r="283" spans="1:15" ht="17.25" customHeight="1">
      <c r="A283" s="22"/>
      <c r="B283" s="27"/>
      <c r="C283" s="22"/>
      <c r="D283" s="19"/>
      <c r="F283" s="5"/>
      <c r="G283" s="20"/>
      <c r="H283" s="5"/>
      <c r="J283" s="5" t="str">
        <f>IF(A283&lt;&gt;"",VLOOKUP(A283,Setting!A$11:B$50,2,FALSE),"")</f>
        <v/>
      </c>
      <c r="K283" s="20"/>
      <c r="L283" s="5" t="str">
        <f t="shared" si="45"/>
        <v/>
      </c>
      <c r="M283" t="str">
        <f t="shared" si="46"/>
        <v/>
      </c>
      <c r="N283" s="21"/>
      <c r="O283" s="26"/>
    </row>
    <row r="284" spans="1:15" ht="17.25" customHeight="1">
      <c r="A284" s="22"/>
      <c r="B284" s="27"/>
      <c r="C284" s="22"/>
      <c r="D284" s="19"/>
      <c r="F284" s="5"/>
      <c r="G284" s="20"/>
      <c r="H284" s="5"/>
      <c r="J284" s="5" t="str">
        <f>IF(A284&lt;&gt;"",VLOOKUP(A284,Setting!A$11:B$50,2,FALSE),"")</f>
        <v/>
      </c>
      <c r="K284" s="20"/>
      <c r="L284" s="5" t="str">
        <f t="shared" si="45"/>
        <v/>
      </c>
      <c r="M284" t="str">
        <f t="shared" si="46"/>
        <v/>
      </c>
      <c r="N284" s="21"/>
      <c r="O284" s="26"/>
    </row>
    <row r="285" spans="1:15" ht="17.25" customHeight="1">
      <c r="A285" s="22"/>
      <c r="B285" s="27"/>
      <c r="C285" s="22"/>
      <c r="D285" s="19"/>
      <c r="F285" s="5"/>
      <c r="G285" s="20"/>
      <c r="H285" s="5"/>
      <c r="J285" s="5" t="str">
        <f>IF(A285&lt;&gt;"",VLOOKUP(A285,Setting!A$11:B$50,2,FALSE),"")</f>
        <v/>
      </c>
      <c r="K285" s="20"/>
      <c r="L285" s="5" t="str">
        <f t="shared" si="45"/>
        <v/>
      </c>
      <c r="M285" t="str">
        <f t="shared" si="46"/>
        <v/>
      </c>
      <c r="N285" s="21"/>
      <c r="O285" s="26"/>
    </row>
    <row r="286" spans="1:15" ht="17.25" customHeight="1">
      <c r="A286" s="22"/>
      <c r="B286" s="27"/>
      <c r="C286" s="22"/>
      <c r="D286" s="19"/>
      <c r="F286" s="5"/>
      <c r="G286" s="20"/>
      <c r="H286" s="5"/>
      <c r="J286" s="5" t="str">
        <f>IF(A286&lt;&gt;"",VLOOKUP(A286,Setting!A$11:B$50,2,FALSE),"")</f>
        <v/>
      </c>
      <c r="K286" s="20"/>
      <c r="L286" s="5" t="str">
        <f t="shared" si="45"/>
        <v/>
      </c>
      <c r="M286" t="str">
        <f t="shared" si="46"/>
        <v/>
      </c>
      <c r="N286" s="21"/>
      <c r="O286" s="26"/>
    </row>
    <row r="287" spans="1:15" ht="17.25" customHeight="1">
      <c r="A287" s="22"/>
      <c r="B287" s="27"/>
      <c r="C287" s="22"/>
      <c r="D287" s="19"/>
      <c r="F287" s="5"/>
      <c r="G287" s="20"/>
      <c r="H287" s="5"/>
      <c r="J287" s="5" t="str">
        <f>IF(A287&lt;&gt;"",VLOOKUP(A287,Setting!A$11:B$50,2,FALSE),"")</f>
        <v/>
      </c>
      <c r="K287" s="20"/>
      <c r="L287" s="5" t="str">
        <f t="shared" si="45"/>
        <v/>
      </c>
      <c r="M287" t="str">
        <f t="shared" si="46"/>
        <v/>
      </c>
      <c r="N287" s="21"/>
      <c r="O287" s="26"/>
    </row>
    <row r="288" spans="1:15" ht="17.25" customHeight="1">
      <c r="A288" s="22"/>
      <c r="B288" s="27"/>
      <c r="C288" s="22"/>
      <c r="D288" s="19"/>
      <c r="F288" s="5"/>
      <c r="G288" s="20"/>
      <c r="H288" s="5"/>
      <c r="J288" s="5" t="str">
        <f>IF(A288&lt;&gt;"",VLOOKUP(A288,Setting!A$11:B$50,2,FALSE),"")</f>
        <v/>
      </c>
      <c r="K288" s="20"/>
      <c r="L288" s="5" t="str">
        <f t="shared" si="45"/>
        <v/>
      </c>
      <c r="M288" t="str">
        <f t="shared" si="46"/>
        <v/>
      </c>
      <c r="N288" s="21"/>
      <c r="O288" s="26"/>
    </row>
    <row r="289" spans="1:15" ht="17.25" customHeight="1">
      <c r="A289" s="22"/>
      <c r="B289" s="27"/>
      <c r="C289" s="22"/>
      <c r="D289" s="19"/>
      <c r="F289" s="5"/>
      <c r="G289" s="20"/>
      <c r="H289" s="5"/>
      <c r="J289" s="5" t="str">
        <f>IF(A289&lt;&gt;"",VLOOKUP(A289,Setting!A$11:B$50,2,FALSE),"")</f>
        <v/>
      </c>
      <c r="K289" s="20"/>
      <c r="L289" s="5" t="str">
        <f t="shared" si="45"/>
        <v/>
      </c>
      <c r="M289" t="str">
        <f t="shared" si="46"/>
        <v/>
      </c>
      <c r="N289" s="21"/>
      <c r="O289" s="26"/>
    </row>
    <row r="290" spans="1:15" ht="17.25" customHeight="1">
      <c r="A290" s="22"/>
      <c r="B290" s="27"/>
      <c r="C290" s="22"/>
      <c r="D290" s="19"/>
      <c r="F290" s="5"/>
      <c r="G290" s="20"/>
      <c r="H290" s="5"/>
      <c r="J290" s="5" t="str">
        <f>IF(A290&lt;&gt;"",VLOOKUP(A290,Setting!A$11:B$50,2,FALSE),"")</f>
        <v/>
      </c>
      <c r="K290" s="20"/>
      <c r="L290" s="5" t="str">
        <f t="shared" si="45"/>
        <v/>
      </c>
      <c r="M290" t="str">
        <f t="shared" si="46"/>
        <v/>
      </c>
      <c r="N290" s="21"/>
      <c r="O290" s="26"/>
    </row>
    <row r="291" spans="1:15" ht="17.25" customHeight="1">
      <c r="A291" s="22"/>
      <c r="B291" s="27"/>
      <c r="C291" s="22"/>
      <c r="D291" s="19"/>
      <c r="F291" s="5"/>
      <c r="G291" s="20"/>
      <c r="H291" s="5"/>
      <c r="J291" s="5" t="str">
        <f>IF(A291&lt;&gt;"",VLOOKUP(A291,Setting!A$11:B$50,2,FALSE),"")</f>
        <v/>
      </c>
      <c r="K291" s="20"/>
      <c r="L291" s="5" t="str">
        <f t="shared" si="45"/>
        <v/>
      </c>
      <c r="M291" t="str">
        <f t="shared" si="46"/>
        <v/>
      </c>
      <c r="N291" s="21"/>
      <c r="O291" s="26"/>
    </row>
    <row r="292" spans="1:15" ht="17.25" customHeight="1">
      <c r="A292" s="22"/>
      <c r="B292" s="27"/>
      <c r="C292" s="22"/>
      <c r="D292" s="19"/>
      <c r="F292" s="5"/>
      <c r="G292" s="20"/>
      <c r="H292" s="5"/>
      <c r="J292" s="5" t="str">
        <f>IF(A292&lt;&gt;"",VLOOKUP(A292,Setting!A$11:B$50,2,FALSE),"")</f>
        <v/>
      </c>
      <c r="K292" s="20"/>
      <c r="L292" s="5" t="str">
        <f t="shared" si="45"/>
        <v/>
      </c>
      <c r="M292" t="str">
        <f t="shared" si="46"/>
        <v/>
      </c>
      <c r="N292" s="21"/>
      <c r="O292" s="26"/>
    </row>
    <row r="293" spans="1:15" ht="17.25" customHeight="1">
      <c r="A293" s="22"/>
      <c r="B293" s="27"/>
      <c r="C293" s="22"/>
      <c r="D293" s="19"/>
      <c r="F293" s="5"/>
      <c r="G293" s="20"/>
      <c r="H293" s="5"/>
      <c r="J293" s="5" t="str">
        <f>IF(A293&lt;&gt;"",VLOOKUP(A293,Setting!A$11:B$50,2,FALSE),"")</f>
        <v/>
      </c>
      <c r="K293" s="20"/>
      <c r="L293" s="5" t="str">
        <f t="shared" si="45"/>
        <v/>
      </c>
      <c r="M293" t="str">
        <f t="shared" si="46"/>
        <v/>
      </c>
      <c r="N293" s="21"/>
      <c r="O293" s="26"/>
    </row>
    <row r="294" spans="1:15" ht="17.25" customHeight="1">
      <c r="A294" s="22"/>
      <c r="B294" s="27"/>
      <c r="C294" s="22"/>
      <c r="D294" s="19"/>
      <c r="F294" s="5"/>
      <c r="G294" s="20"/>
      <c r="H294" s="5"/>
      <c r="J294" s="5" t="str">
        <f>IF(A294&lt;&gt;"",VLOOKUP(A294,Setting!A$11:B$50,2,FALSE),"")</f>
        <v/>
      </c>
      <c r="K294" s="20"/>
      <c r="L294" s="5" t="str">
        <f t="shared" si="45"/>
        <v/>
      </c>
      <c r="M294" t="str">
        <f t="shared" si="46"/>
        <v/>
      </c>
      <c r="N294" s="21"/>
      <c r="O294" s="26"/>
    </row>
    <row r="295" spans="1:15" ht="17.25" customHeight="1">
      <c r="A295" s="22"/>
      <c r="B295" s="27"/>
      <c r="C295" s="22"/>
      <c r="D295" s="19"/>
      <c r="F295" s="5"/>
      <c r="G295" s="20"/>
      <c r="H295" s="5"/>
      <c r="J295" s="5" t="str">
        <f>IF(A295&lt;&gt;"",VLOOKUP(A295,Setting!A$11:B$50,2,FALSE),"")</f>
        <v/>
      </c>
      <c r="K295" s="20"/>
      <c r="L295" s="5" t="str">
        <f t="shared" si="45"/>
        <v/>
      </c>
      <c r="M295" t="str">
        <f t="shared" si="46"/>
        <v/>
      </c>
      <c r="N295" s="21"/>
      <c r="O295" s="26"/>
    </row>
    <row r="296" spans="1:15" ht="17.25" customHeight="1">
      <c r="A296" s="22"/>
      <c r="B296" s="27"/>
      <c r="C296" s="22"/>
      <c r="D296" s="19"/>
      <c r="F296" s="5"/>
      <c r="G296" s="20"/>
      <c r="H296" s="5"/>
      <c r="J296" s="5" t="str">
        <f>IF(A296&lt;&gt;"",VLOOKUP(A296,Setting!A$11:B$50,2,FALSE),"")</f>
        <v/>
      </c>
      <c r="K296" s="20"/>
      <c r="L296" s="5" t="str">
        <f t="shared" si="45"/>
        <v/>
      </c>
      <c r="M296" t="str">
        <f t="shared" si="46"/>
        <v/>
      </c>
      <c r="N296" s="21"/>
      <c r="O296" s="26"/>
    </row>
    <row r="297" spans="1:15" ht="17.25" customHeight="1">
      <c r="A297" s="22"/>
      <c r="B297" s="27"/>
      <c r="C297" s="22"/>
      <c r="D297" s="19"/>
      <c r="F297" s="5"/>
      <c r="G297" s="20"/>
      <c r="H297" s="5"/>
      <c r="J297" s="5" t="str">
        <f>IF(A297&lt;&gt;"",VLOOKUP(A297,Setting!A$11:B$50,2,FALSE),"")</f>
        <v/>
      </c>
      <c r="K297" s="20"/>
      <c r="L297" s="5" t="str">
        <f t="shared" si="45"/>
        <v/>
      </c>
      <c r="M297" t="str">
        <f t="shared" si="46"/>
        <v/>
      </c>
      <c r="N297" s="21"/>
      <c r="O297" s="26"/>
    </row>
    <row r="298" spans="1:15" ht="17.25" customHeight="1">
      <c r="A298" s="22"/>
      <c r="B298" s="27"/>
      <c r="C298" s="22"/>
      <c r="D298" s="19"/>
      <c r="F298" s="5"/>
      <c r="G298" s="20"/>
      <c r="H298" s="5"/>
      <c r="J298" s="5" t="str">
        <f>IF(A298&lt;&gt;"",VLOOKUP(A298,Setting!A$11:B$50,2,FALSE),"")</f>
        <v/>
      </c>
      <c r="K298" s="20"/>
      <c r="L298" s="5" t="str">
        <f t="shared" si="45"/>
        <v/>
      </c>
      <c r="M298" t="str">
        <f t="shared" si="46"/>
        <v/>
      </c>
      <c r="N298" s="21"/>
      <c r="O298" s="26"/>
    </row>
    <row r="299" spans="1:15" ht="17.25" customHeight="1">
      <c r="A299" s="22"/>
      <c r="B299" s="27"/>
      <c r="C299" s="22"/>
      <c r="D299" s="19"/>
      <c r="F299" s="5"/>
      <c r="G299" s="20"/>
      <c r="H299" s="5"/>
      <c r="J299" s="5" t="str">
        <f>IF(A299&lt;&gt;"",VLOOKUP(A299,Setting!A$11:B$50,2,FALSE),"")</f>
        <v/>
      </c>
      <c r="K299" s="20"/>
      <c r="L299" s="5" t="str">
        <f t="shared" si="45"/>
        <v/>
      </c>
      <c r="M299" t="str">
        <f t="shared" si="46"/>
        <v/>
      </c>
      <c r="N299" s="21"/>
      <c r="O299" s="26"/>
    </row>
    <row r="300" spans="1:15" ht="17.25" customHeight="1">
      <c r="A300" s="22"/>
      <c r="B300" s="27"/>
      <c r="C300" s="22"/>
      <c r="D300" s="19"/>
      <c r="F300" s="5"/>
      <c r="G300" s="20"/>
      <c r="H300" s="5"/>
      <c r="J300" s="5" t="str">
        <f>IF(A300&lt;&gt;"",VLOOKUP(A300,Setting!A$11:B$50,2,FALSE),"")</f>
        <v/>
      </c>
      <c r="K300" s="20"/>
      <c r="L300" s="5" t="str">
        <f t="shared" si="45"/>
        <v/>
      </c>
      <c r="M300" t="str">
        <f t="shared" si="46"/>
        <v/>
      </c>
      <c r="N300" s="21"/>
      <c r="O300" s="26"/>
    </row>
    <row r="301" spans="1:15" ht="17.25" customHeight="1">
      <c r="A301" s="22"/>
      <c r="B301" s="27"/>
      <c r="C301" s="22"/>
      <c r="D301" s="19"/>
      <c r="F301" s="5"/>
      <c r="G301" s="20"/>
      <c r="H301" s="5"/>
      <c r="J301" s="5" t="str">
        <f>IF(A301&lt;&gt;"",VLOOKUP(A301,Setting!A$11:B$50,2,FALSE),"")</f>
        <v/>
      </c>
      <c r="K301" s="20"/>
      <c r="L301" s="5" t="str">
        <f t="shared" si="45"/>
        <v/>
      </c>
      <c r="M301" t="str">
        <f t="shared" si="46"/>
        <v/>
      </c>
      <c r="N301" s="21"/>
      <c r="O301" s="26"/>
    </row>
    <row r="302" spans="1:15" ht="17.25" customHeight="1">
      <c r="A302" s="22"/>
      <c r="B302" s="27"/>
      <c r="C302" s="22"/>
      <c r="D302" s="19"/>
      <c r="F302" s="5"/>
      <c r="G302" s="20"/>
      <c r="H302" s="5"/>
      <c r="J302" s="5" t="str">
        <f>IF(A302&lt;&gt;"",VLOOKUP(A302,Setting!A$11:B$50,2,FALSE),"")</f>
        <v/>
      </c>
      <c r="K302" s="20"/>
      <c r="L302" s="5" t="str">
        <f t="shared" si="45"/>
        <v/>
      </c>
      <c r="M302" t="str">
        <f t="shared" si="46"/>
        <v/>
      </c>
      <c r="N302" s="21"/>
      <c r="O302" s="26"/>
    </row>
    <row r="303" spans="1:15" ht="17.25" customHeight="1">
      <c r="A303" s="22"/>
      <c r="B303" s="27"/>
      <c r="C303" s="22"/>
      <c r="D303" s="19"/>
      <c r="F303" s="5"/>
      <c r="G303" s="20"/>
      <c r="H303" s="5"/>
      <c r="J303" s="5" t="str">
        <f>IF(A303&lt;&gt;"",VLOOKUP(A303,Setting!A$11:B$50,2,FALSE),"")</f>
        <v/>
      </c>
      <c r="K303" s="20"/>
      <c r="L303" s="5" t="str">
        <f t="shared" si="45"/>
        <v/>
      </c>
      <c r="M303" t="str">
        <f t="shared" si="46"/>
        <v/>
      </c>
      <c r="N303" s="21"/>
      <c r="O303" s="26"/>
    </row>
    <row r="304" spans="1:15" ht="17.25" customHeight="1">
      <c r="A304" s="22"/>
      <c r="B304" s="27"/>
      <c r="C304" s="22"/>
      <c r="D304" s="19"/>
      <c r="F304" s="5"/>
      <c r="G304" s="20"/>
      <c r="H304" s="5"/>
      <c r="J304" s="5" t="str">
        <f>IF(A304&lt;&gt;"",VLOOKUP(A304,Setting!A$11:B$50,2,FALSE),"")</f>
        <v/>
      </c>
      <c r="K304" s="20"/>
      <c r="L304" s="5" t="str">
        <f t="shared" si="45"/>
        <v/>
      </c>
      <c r="M304" t="str">
        <f t="shared" si="46"/>
        <v/>
      </c>
      <c r="N304" s="21"/>
      <c r="O304" s="26"/>
    </row>
    <row r="305" spans="1:15" ht="17.25" customHeight="1">
      <c r="A305" s="22"/>
      <c r="B305" s="27"/>
      <c r="C305" s="22"/>
      <c r="D305" s="19"/>
      <c r="F305" s="5"/>
      <c r="G305" s="20"/>
      <c r="H305" s="5"/>
      <c r="J305" s="5" t="str">
        <f>IF(A305&lt;&gt;"",VLOOKUP(A305,Setting!A$11:B$50,2,FALSE),"")</f>
        <v/>
      </c>
      <c r="K305" s="20"/>
      <c r="L305" s="5" t="str">
        <f t="shared" si="45"/>
        <v/>
      </c>
      <c r="M305" t="str">
        <f t="shared" si="46"/>
        <v/>
      </c>
      <c r="N305" s="21"/>
      <c r="O305" s="26"/>
    </row>
    <row r="306" spans="1:15" ht="17.25" customHeight="1">
      <c r="A306" s="22"/>
      <c r="B306" s="27"/>
      <c r="C306" s="22"/>
      <c r="D306" s="19"/>
      <c r="F306" s="5"/>
      <c r="G306" s="20"/>
      <c r="H306" s="5"/>
      <c r="J306" s="5" t="str">
        <f>IF(A306&lt;&gt;"",VLOOKUP(A306,Setting!A$11:B$50,2,FALSE),"")</f>
        <v/>
      </c>
      <c r="K306" s="20"/>
      <c r="L306" s="5" t="str">
        <f t="shared" si="45"/>
        <v/>
      </c>
      <c r="M306" t="str">
        <f t="shared" si="46"/>
        <v/>
      </c>
      <c r="N306" s="21"/>
      <c r="O306" s="26"/>
    </row>
    <row r="307" spans="1:15" ht="17.25" customHeight="1">
      <c r="A307" s="22"/>
      <c r="B307" s="27"/>
      <c r="C307" s="22"/>
      <c r="D307" s="19"/>
      <c r="F307" s="5"/>
      <c r="G307" s="20"/>
      <c r="H307" s="5"/>
      <c r="J307" s="5" t="str">
        <f>IF(A307&lt;&gt;"",VLOOKUP(A307,Setting!A$11:B$50,2,FALSE),"")</f>
        <v/>
      </c>
      <c r="K307" s="20"/>
      <c r="L307" s="5" t="str">
        <f t="shared" si="45"/>
        <v/>
      </c>
      <c r="M307" t="str">
        <f t="shared" si="46"/>
        <v/>
      </c>
      <c r="N307" s="21"/>
      <c r="O307" s="26"/>
    </row>
    <row r="308" spans="1:15" ht="17.25" customHeight="1">
      <c r="A308" s="22"/>
      <c r="B308" s="27"/>
      <c r="C308" s="22"/>
      <c r="D308" s="19"/>
      <c r="F308" s="5"/>
      <c r="G308" s="20"/>
      <c r="H308" s="5"/>
      <c r="J308" s="5" t="str">
        <f>IF(A308&lt;&gt;"",VLOOKUP(A308,Setting!A$11:B$50,2,FALSE),"")</f>
        <v/>
      </c>
      <c r="K308" s="20"/>
      <c r="L308" s="5" t="str">
        <f t="shared" si="45"/>
        <v/>
      </c>
      <c r="M308" t="str">
        <f t="shared" si="46"/>
        <v/>
      </c>
      <c r="N308" s="21"/>
      <c r="O308" s="26"/>
    </row>
    <row r="309" spans="1:15" ht="17.25" customHeight="1">
      <c r="A309" s="22"/>
      <c r="B309" s="27"/>
      <c r="C309" s="22"/>
      <c r="D309" s="19"/>
      <c r="F309" s="5"/>
      <c r="G309" s="20"/>
      <c r="H309" s="5"/>
      <c r="J309" s="5" t="str">
        <f>IF(A309&lt;&gt;"",VLOOKUP(A309,Setting!A$11:B$50,2,FALSE),"")</f>
        <v/>
      </c>
      <c r="K309" s="20"/>
      <c r="L309" s="5" t="str">
        <f t="shared" si="45"/>
        <v/>
      </c>
      <c r="M309" t="str">
        <f t="shared" si="46"/>
        <v/>
      </c>
      <c r="N309" s="21"/>
      <c r="O309" s="26"/>
    </row>
    <row r="310" spans="1:15" ht="17.25" customHeight="1">
      <c r="A310" s="22"/>
      <c r="B310" s="27"/>
      <c r="C310" s="22"/>
      <c r="D310" s="19"/>
      <c r="F310" s="5"/>
      <c r="G310" s="20"/>
      <c r="H310" s="5"/>
      <c r="J310" s="5" t="str">
        <f>IF(A310&lt;&gt;"",VLOOKUP(A310,Setting!A$11:B$50,2,FALSE),"")</f>
        <v/>
      </c>
      <c r="K310" s="20"/>
      <c r="L310" s="5" t="str">
        <f t="shared" si="45"/>
        <v/>
      </c>
      <c r="M310" t="str">
        <f t="shared" si="46"/>
        <v/>
      </c>
      <c r="N310" s="21"/>
      <c r="O310" s="26"/>
    </row>
    <row r="311" spans="1:15" ht="17.25" customHeight="1">
      <c r="A311" s="22"/>
      <c r="B311" s="27"/>
      <c r="C311" s="22"/>
      <c r="D311" s="19"/>
      <c r="F311" s="5"/>
      <c r="G311" s="20"/>
      <c r="H311" s="5"/>
      <c r="J311" s="5" t="str">
        <f>IF(A311&lt;&gt;"",VLOOKUP(A311,Setting!A$11:B$50,2,FALSE),"")</f>
        <v/>
      </c>
      <c r="K311" s="20"/>
      <c r="L311" s="5" t="str">
        <f t="shared" si="45"/>
        <v/>
      </c>
      <c r="M311" t="str">
        <f t="shared" si="46"/>
        <v/>
      </c>
      <c r="N311" s="21"/>
      <c r="O311" s="26"/>
    </row>
    <row r="312" spans="1:15" ht="17.25" customHeight="1">
      <c r="A312" s="22"/>
      <c r="B312" s="27"/>
      <c r="C312" s="22"/>
      <c r="D312" s="19"/>
      <c r="F312" s="5"/>
      <c r="G312" s="20"/>
      <c r="H312" s="5"/>
      <c r="J312" s="5" t="str">
        <f>IF(A312&lt;&gt;"",VLOOKUP(A312,Setting!A$11:B$50,2,FALSE),"")</f>
        <v/>
      </c>
      <c r="K312" s="20"/>
      <c r="L312" s="5" t="str">
        <f t="shared" si="45"/>
        <v/>
      </c>
      <c r="M312" t="str">
        <f t="shared" si="46"/>
        <v/>
      </c>
      <c r="N312" s="21"/>
      <c r="O312" s="26"/>
    </row>
    <row r="313" spans="1:15" ht="17.25" customHeight="1">
      <c r="A313" s="22"/>
      <c r="B313" s="27"/>
      <c r="C313" s="22"/>
      <c r="D313" s="19"/>
      <c r="F313" s="5"/>
      <c r="G313" s="20"/>
      <c r="H313" s="5"/>
      <c r="J313" s="5" t="str">
        <f>IF(A313&lt;&gt;"",VLOOKUP(A313,Setting!A$11:B$50,2,FALSE),"")</f>
        <v/>
      </c>
      <c r="K313" s="20"/>
      <c r="L313" s="5" t="str">
        <f t="shared" si="45"/>
        <v/>
      </c>
      <c r="M313" t="str">
        <f t="shared" si="46"/>
        <v/>
      </c>
      <c r="N313" s="21"/>
      <c r="O313" s="26"/>
    </row>
    <row r="314" spans="1:15" ht="17.25" customHeight="1">
      <c r="A314" s="22"/>
      <c r="B314" s="27"/>
      <c r="C314" s="22"/>
      <c r="D314" s="19"/>
      <c r="F314" s="5"/>
      <c r="G314" s="20"/>
      <c r="H314" s="5"/>
      <c r="J314" s="5" t="str">
        <f>IF(A314&lt;&gt;"",VLOOKUP(A314,Setting!A$11:B$50,2,FALSE),"")</f>
        <v/>
      </c>
      <c r="K314" s="20"/>
      <c r="L314" s="5" t="str">
        <f t="shared" si="45"/>
        <v/>
      </c>
      <c r="M314" t="str">
        <f t="shared" si="46"/>
        <v/>
      </c>
      <c r="N314" s="21"/>
      <c r="O314" s="26"/>
    </row>
    <row r="315" spans="1:15" ht="17.25" customHeight="1">
      <c r="A315" s="22"/>
      <c r="B315" s="27"/>
      <c r="C315" s="22"/>
      <c r="D315" s="19"/>
      <c r="F315" s="5"/>
      <c r="G315" s="20"/>
      <c r="H315" s="5"/>
      <c r="J315" s="5" t="str">
        <f>IF(A315&lt;&gt;"",VLOOKUP(A315,Setting!A$11:B$50,2,FALSE),"")</f>
        <v/>
      </c>
      <c r="K315" s="20"/>
      <c r="L315" s="5" t="str">
        <f t="shared" si="45"/>
        <v/>
      </c>
      <c r="M315" t="str">
        <f t="shared" si="46"/>
        <v/>
      </c>
      <c r="N315" s="21"/>
      <c r="O315" s="26"/>
    </row>
    <row r="316" spans="1:15" ht="17.25" customHeight="1">
      <c r="A316" s="22"/>
      <c r="B316" s="27"/>
      <c r="C316" s="22"/>
      <c r="D316" s="19"/>
      <c r="F316" s="5"/>
      <c r="G316" s="20"/>
      <c r="H316" s="5"/>
      <c r="J316" s="5" t="str">
        <f>IF(A316&lt;&gt;"",VLOOKUP(A316,Setting!A$11:B$50,2,FALSE),"")</f>
        <v/>
      </c>
      <c r="K316" s="20"/>
      <c r="L316" s="5" t="str">
        <f t="shared" si="45"/>
        <v/>
      </c>
      <c r="M316" t="str">
        <f t="shared" si="46"/>
        <v/>
      </c>
      <c r="N316" s="21"/>
      <c r="O316" s="26"/>
    </row>
    <row r="317" spans="1:15" ht="17.25" customHeight="1">
      <c r="A317" s="22"/>
      <c r="B317" s="27"/>
      <c r="C317" s="22"/>
      <c r="D317" s="19"/>
      <c r="F317" s="5"/>
      <c r="G317" s="20"/>
      <c r="H317" s="5"/>
      <c r="J317" s="5" t="str">
        <f>IF(A317&lt;&gt;"",VLOOKUP(A317,Setting!A$11:B$50,2,FALSE),"")</f>
        <v/>
      </c>
      <c r="K317" s="20"/>
      <c r="L317" s="5" t="str">
        <f t="shared" si="45"/>
        <v/>
      </c>
      <c r="M317" t="str">
        <f t="shared" si="46"/>
        <v/>
      </c>
      <c r="N317" s="21"/>
      <c r="O317" s="26"/>
    </row>
    <row r="318" spans="1:15" ht="17.25" customHeight="1">
      <c r="A318" s="22"/>
      <c r="B318" s="27"/>
      <c r="C318" s="22"/>
      <c r="D318" s="19"/>
      <c r="F318" s="5"/>
      <c r="G318" s="20"/>
      <c r="H318" s="5"/>
      <c r="J318" s="5" t="str">
        <f>IF(A318&lt;&gt;"",VLOOKUP(A318,Setting!A$11:B$50,2,FALSE),"")</f>
        <v/>
      </c>
      <c r="K318" s="20"/>
      <c r="L318" s="5" t="str">
        <f t="shared" si="45"/>
        <v/>
      </c>
      <c r="M318" t="str">
        <f t="shared" si="46"/>
        <v/>
      </c>
      <c r="N318" s="21"/>
      <c r="O318" s="26"/>
    </row>
    <row r="319" spans="1:15" ht="17.25" customHeight="1">
      <c r="A319" s="22"/>
      <c r="B319" s="27"/>
      <c r="C319" s="22"/>
      <c r="D319" s="19"/>
      <c r="F319" s="5"/>
      <c r="G319" s="20"/>
      <c r="H319" s="5"/>
      <c r="J319" s="5" t="str">
        <f>IF(A319&lt;&gt;"",VLOOKUP(A319,Setting!A$11:B$50,2,FALSE),"")</f>
        <v/>
      </c>
      <c r="K319" s="20"/>
      <c r="L319" s="5" t="str">
        <f t="shared" si="45"/>
        <v/>
      </c>
      <c r="M319" t="str">
        <f t="shared" si="46"/>
        <v/>
      </c>
      <c r="N319" s="21"/>
      <c r="O319" s="26"/>
    </row>
    <row r="320" spans="1:15" ht="17.25" customHeight="1">
      <c r="A320" s="22"/>
      <c r="B320" s="27"/>
      <c r="C320" s="22"/>
      <c r="D320" s="19"/>
      <c r="F320" s="5"/>
      <c r="G320" s="20"/>
      <c r="H320" s="5"/>
      <c r="J320" s="5" t="str">
        <f>IF(A320&lt;&gt;"",VLOOKUP(A320,Setting!A$11:B$50,2,FALSE),"")</f>
        <v/>
      </c>
      <c r="K320" s="20"/>
      <c r="L320" s="5" t="str">
        <f t="shared" si="45"/>
        <v/>
      </c>
      <c r="M320" t="str">
        <f t="shared" si="46"/>
        <v/>
      </c>
      <c r="N320" s="21"/>
      <c r="O320" s="26"/>
    </row>
    <row r="321" spans="1:15" ht="17.25" customHeight="1">
      <c r="A321" s="22"/>
      <c r="B321" s="27"/>
      <c r="C321" s="22"/>
      <c r="D321" s="19"/>
      <c r="F321" s="5"/>
      <c r="G321" s="20"/>
      <c r="H321" s="5"/>
      <c r="J321" s="5" t="str">
        <f>IF(A321&lt;&gt;"",VLOOKUP(A321,Setting!A$11:B$50,2,FALSE),"")</f>
        <v/>
      </c>
      <c r="K321" s="20"/>
      <c r="L321" s="5" t="str">
        <f t="shared" si="45"/>
        <v/>
      </c>
      <c r="M321" t="str">
        <f t="shared" si="46"/>
        <v/>
      </c>
      <c r="N321" s="21"/>
      <c r="O321" s="26"/>
    </row>
    <row r="322" spans="1:15" ht="17.25" customHeight="1">
      <c r="A322" s="22"/>
      <c r="B322" s="27"/>
      <c r="C322" s="22"/>
      <c r="D322" s="19"/>
      <c r="F322" s="5"/>
      <c r="G322" s="20"/>
      <c r="H322" s="5"/>
      <c r="J322" s="5" t="str">
        <f>IF(A322&lt;&gt;"",VLOOKUP(A322,Setting!A$11:B$50,2,FALSE),"")</f>
        <v/>
      </c>
      <c r="K322" s="20"/>
      <c r="L322" s="5" t="str">
        <f t="shared" si="45"/>
        <v/>
      </c>
      <c r="M322" t="str">
        <f t="shared" si="46"/>
        <v/>
      </c>
      <c r="N322" s="21"/>
      <c r="O322" s="26"/>
    </row>
    <row r="323" spans="1:15" ht="17.25" customHeight="1">
      <c r="A323" s="22"/>
      <c r="B323" s="27"/>
      <c r="C323" s="22"/>
      <c r="D323" s="19"/>
      <c r="F323" s="5"/>
      <c r="G323" s="20"/>
      <c r="H323" s="5"/>
      <c r="J323" s="5" t="str">
        <f>IF(A323&lt;&gt;"",VLOOKUP(A323,Setting!A$11:B$50,2,FALSE),"")</f>
        <v/>
      </c>
      <c r="K323" s="20"/>
      <c r="L323" s="5" t="str">
        <f t="shared" si="45"/>
        <v/>
      </c>
      <c r="M323" t="str">
        <f t="shared" si="46"/>
        <v/>
      </c>
      <c r="N323" s="21"/>
      <c r="O323" s="26"/>
    </row>
    <row r="324" spans="1:15" ht="17.25" customHeight="1">
      <c r="A324" s="22"/>
      <c r="B324" s="27"/>
      <c r="C324" s="22"/>
      <c r="D324" s="19"/>
      <c r="F324" s="5"/>
      <c r="G324" s="20"/>
      <c r="H324" s="5"/>
      <c r="J324" s="5" t="str">
        <f>IF(A324&lt;&gt;"",VLOOKUP(A324,Setting!A$11:B$50,2,FALSE),"")</f>
        <v/>
      </c>
      <c r="K324" s="20"/>
      <c r="L324" s="5" t="str">
        <f t="shared" si="45"/>
        <v/>
      </c>
      <c r="M324" t="str">
        <f t="shared" si="46"/>
        <v/>
      </c>
      <c r="N324" s="21"/>
      <c r="O324" s="26"/>
    </row>
    <row r="325" spans="1:15" ht="17.25" customHeight="1">
      <c r="A325" s="22"/>
      <c r="B325" s="27"/>
      <c r="C325" s="22"/>
      <c r="D325" s="19"/>
      <c r="F325" s="5"/>
      <c r="G325" s="20"/>
      <c r="H325" s="5"/>
      <c r="J325" s="5" t="str">
        <f>IF(A325&lt;&gt;"",VLOOKUP(A325,Setting!A$11:B$50,2,FALSE),"")</f>
        <v/>
      </c>
      <c r="K325" s="20"/>
      <c r="L325" s="5" t="str">
        <f t="shared" si="45"/>
        <v/>
      </c>
      <c r="M325" t="str">
        <f t="shared" si="46"/>
        <v/>
      </c>
      <c r="N325" s="21"/>
      <c r="O325" s="26"/>
    </row>
    <row r="326" spans="1:15" ht="17.25" customHeight="1">
      <c r="A326" s="22"/>
      <c r="B326" s="27"/>
      <c r="C326" s="22"/>
      <c r="D326" s="19"/>
      <c r="F326" s="5"/>
      <c r="G326" s="20"/>
      <c r="H326" s="5"/>
      <c r="J326" s="5" t="str">
        <f>IF(A326&lt;&gt;"",VLOOKUP(A326,Setting!A$11:B$50,2,FALSE),"")</f>
        <v/>
      </c>
      <c r="K326" s="20"/>
      <c r="L326" s="5" t="str">
        <f t="shared" si="45"/>
        <v/>
      </c>
      <c r="M326" t="str">
        <f t="shared" si="46"/>
        <v/>
      </c>
      <c r="N326" s="21"/>
      <c r="O326" s="26"/>
    </row>
    <row r="327" spans="1:15" ht="17.25" customHeight="1">
      <c r="A327" s="22"/>
      <c r="B327" s="27"/>
      <c r="C327" s="22"/>
      <c r="D327" s="19"/>
      <c r="F327" s="5"/>
      <c r="G327" s="20"/>
      <c r="H327" s="5"/>
      <c r="J327" s="5" t="str">
        <f>IF(A327&lt;&gt;"",VLOOKUP(A327,Setting!A$11:B$50,2,FALSE),"")</f>
        <v/>
      </c>
      <c r="K327" s="20"/>
      <c r="L327" s="5" t="str">
        <f t="shared" si="45"/>
        <v/>
      </c>
      <c r="M327" t="str">
        <f t="shared" si="46"/>
        <v/>
      </c>
      <c r="N327" s="21"/>
      <c r="O327" s="26"/>
    </row>
    <row r="328" spans="1:15" ht="17.25" customHeight="1">
      <c r="A328" s="22"/>
      <c r="B328" s="27"/>
      <c r="C328" s="22"/>
      <c r="D328" s="19"/>
      <c r="F328" s="5"/>
      <c r="G328" s="20"/>
      <c r="H328" s="5"/>
      <c r="J328" s="5" t="str">
        <f>IF(A328&lt;&gt;"",VLOOKUP(A328,Setting!A$11:B$50,2,FALSE),"")</f>
        <v/>
      </c>
      <c r="K328" s="20"/>
      <c r="L328" s="5" t="str">
        <f t="shared" si="45"/>
        <v/>
      </c>
      <c r="M328" t="str">
        <f t="shared" si="46"/>
        <v/>
      </c>
      <c r="N328" s="21"/>
      <c r="O328" s="26"/>
    </row>
    <row r="329" spans="1:15" ht="17.25" customHeight="1">
      <c r="A329" s="22"/>
      <c r="B329" s="27"/>
      <c r="C329" s="22"/>
      <c r="D329" s="19"/>
      <c r="F329" s="5"/>
      <c r="G329" s="20"/>
      <c r="H329" s="5"/>
      <c r="J329" s="5" t="str">
        <f>IF(A329&lt;&gt;"",VLOOKUP(A329,Setting!A$11:B$50,2,FALSE),"")</f>
        <v/>
      </c>
      <c r="K329" s="20"/>
      <c r="L329" s="5" t="str">
        <f t="shared" si="45"/>
        <v/>
      </c>
      <c r="M329" t="str">
        <f t="shared" si="46"/>
        <v/>
      </c>
      <c r="N329" s="21"/>
      <c r="O329" s="26"/>
    </row>
    <row r="330" spans="1:15" ht="17.25" customHeight="1">
      <c r="A330" s="22"/>
      <c r="B330" s="27"/>
      <c r="C330" s="22"/>
      <c r="D330" s="19"/>
      <c r="F330" s="5"/>
      <c r="G330" s="20"/>
      <c r="H330" s="5"/>
      <c r="J330" s="5" t="str">
        <f>IF(A330&lt;&gt;"",VLOOKUP(A330,Setting!A$11:B$50,2,FALSE),"")</f>
        <v/>
      </c>
      <c r="K330" s="20"/>
      <c r="L330" s="5" t="str">
        <f t="shared" si="45"/>
        <v/>
      </c>
      <c r="M330" t="str">
        <f t="shared" si="46"/>
        <v/>
      </c>
      <c r="N330" s="21"/>
      <c r="O330" s="26"/>
    </row>
    <row r="331" spans="1:15" ht="17.25" customHeight="1">
      <c r="A331" s="22"/>
      <c r="B331" s="27"/>
      <c r="C331" s="22"/>
      <c r="D331" s="19"/>
      <c r="F331" s="5"/>
      <c r="G331" s="20"/>
      <c r="H331" s="5"/>
      <c r="J331" s="5" t="str">
        <f>IF(A331&lt;&gt;"",VLOOKUP(A331,Setting!A$11:B$50,2,FALSE),"")</f>
        <v/>
      </c>
      <c r="K331" s="20"/>
      <c r="L331" s="5" t="str">
        <f t="shared" si="45"/>
        <v/>
      </c>
      <c r="M331" t="str">
        <f t="shared" si="46"/>
        <v/>
      </c>
      <c r="N331" s="21"/>
      <c r="O331" s="26"/>
    </row>
    <row r="332" spans="1:15" ht="17.25" customHeight="1">
      <c r="A332" s="22"/>
      <c r="B332" s="27"/>
      <c r="C332" s="22"/>
      <c r="D332" s="19"/>
      <c r="F332" s="5"/>
      <c r="G332" s="20"/>
      <c r="H332" s="5"/>
      <c r="J332" s="5" t="str">
        <f>IF(A332&lt;&gt;"",VLOOKUP(A332,Setting!A$11:B$50,2,FALSE),"")</f>
        <v/>
      </c>
      <c r="K332" s="20"/>
      <c r="L332" s="5" t="str">
        <f t="shared" si="45"/>
        <v/>
      </c>
      <c r="M332" t="str">
        <f t="shared" si="46"/>
        <v/>
      </c>
      <c r="N332" s="21"/>
      <c r="O332" s="26"/>
    </row>
    <row r="333" spans="1:15" ht="17.25" customHeight="1">
      <c r="A333" s="22"/>
      <c r="B333" s="27"/>
      <c r="C333" s="22"/>
      <c r="D333" s="19"/>
      <c r="F333" s="5"/>
      <c r="G333" s="20"/>
      <c r="H333" s="5"/>
      <c r="J333" s="5" t="str">
        <f>IF(A333&lt;&gt;"",VLOOKUP(A333,Setting!A$11:B$50,2,FALSE),"")</f>
        <v/>
      </c>
      <c r="K333" s="20"/>
      <c r="L333" s="5" t="str">
        <f t="shared" si="45"/>
        <v/>
      </c>
      <c r="M333" t="str">
        <f t="shared" si="46"/>
        <v/>
      </c>
      <c r="N333" s="21"/>
      <c r="O333" s="26"/>
    </row>
    <row r="334" spans="1:15" ht="17.25" customHeight="1">
      <c r="A334" s="22"/>
      <c r="B334" s="27"/>
      <c r="C334" s="22"/>
      <c r="D334" s="19"/>
      <c r="F334" s="5"/>
      <c r="G334" s="20"/>
      <c r="H334" s="5"/>
      <c r="J334" s="5" t="str">
        <f>IF(A334&lt;&gt;"",VLOOKUP(A334,Setting!A$11:B$50,2,FALSE),"")</f>
        <v/>
      </c>
      <c r="K334" s="20"/>
      <c r="L334" s="5" t="str">
        <f t="shared" si="45"/>
        <v/>
      </c>
      <c r="M334" t="str">
        <f t="shared" si="46"/>
        <v/>
      </c>
      <c r="N334" s="21"/>
      <c r="O334" s="26"/>
    </row>
    <row r="335" spans="1:15" ht="17.25" customHeight="1">
      <c r="A335" s="22"/>
      <c r="B335" s="27"/>
      <c r="C335" s="22"/>
      <c r="D335" s="19"/>
      <c r="F335" s="5"/>
      <c r="G335" s="20"/>
      <c r="H335" s="5"/>
      <c r="J335" s="5" t="str">
        <f>IF(A335&lt;&gt;"",VLOOKUP(A335,Setting!A$11:B$50,2,FALSE),"")</f>
        <v/>
      </c>
      <c r="K335" s="20"/>
      <c r="L335" s="5" t="str">
        <f t="shared" si="45"/>
        <v/>
      </c>
      <c r="M335" t="str">
        <f t="shared" si="46"/>
        <v/>
      </c>
      <c r="N335" s="21"/>
      <c r="O335" s="26"/>
    </row>
    <row r="336" spans="1:15" ht="17.25" customHeight="1">
      <c r="A336" s="22"/>
      <c r="B336" s="27"/>
      <c r="C336" s="22"/>
      <c r="D336" s="19"/>
      <c r="F336" s="5"/>
      <c r="G336" s="20"/>
      <c r="H336" s="5"/>
      <c r="J336" s="5" t="str">
        <f>IF(A336&lt;&gt;"",VLOOKUP(A336,Setting!A$11:B$50,2,FALSE),"")</f>
        <v/>
      </c>
      <c r="K336" s="20"/>
      <c r="L336" s="5" t="str">
        <f t="shared" si="45"/>
        <v/>
      </c>
      <c r="M336" t="str">
        <f t="shared" si="46"/>
        <v/>
      </c>
      <c r="N336" s="21"/>
      <c r="O336" s="26"/>
    </row>
    <row r="337" spans="1:15" ht="17.25" customHeight="1">
      <c r="A337" s="22"/>
      <c r="B337" s="27"/>
      <c r="C337" s="22"/>
      <c r="D337" s="19"/>
      <c r="F337" s="5"/>
      <c r="G337" s="20"/>
      <c r="H337" s="5"/>
      <c r="J337" s="5" t="str">
        <f>IF(A337&lt;&gt;"",VLOOKUP(A337,Setting!A$11:B$50,2,FALSE),"")</f>
        <v/>
      </c>
      <c r="K337" s="20"/>
      <c r="L337" s="5" t="str">
        <f t="shared" si="45"/>
        <v/>
      </c>
      <c r="M337" t="str">
        <f t="shared" si="46"/>
        <v/>
      </c>
      <c r="N337" s="21"/>
      <c r="O337" s="26"/>
    </row>
    <row r="338" spans="1:15" ht="17.25" customHeight="1">
      <c r="A338" s="22"/>
      <c r="B338" s="27"/>
      <c r="C338" s="22"/>
      <c r="D338" s="19"/>
      <c r="F338" s="5"/>
      <c r="G338" s="20"/>
      <c r="H338" s="5"/>
      <c r="J338" s="5" t="str">
        <f>IF(A338&lt;&gt;"",VLOOKUP(A338,Setting!A$11:B$50,2,FALSE),"")</f>
        <v/>
      </c>
      <c r="K338" s="20"/>
      <c r="L338" s="5" t="str">
        <f t="shared" si="45"/>
        <v/>
      </c>
      <c r="M338" t="str">
        <f t="shared" si="46"/>
        <v/>
      </c>
      <c r="N338" s="21"/>
      <c r="O338" s="26"/>
    </row>
    <row r="339" spans="1:15" ht="17.25" customHeight="1">
      <c r="A339" s="22"/>
      <c r="B339" s="27"/>
      <c r="C339" s="22"/>
      <c r="D339" s="19"/>
      <c r="F339" s="5"/>
      <c r="G339" s="20"/>
      <c r="H339" s="5"/>
      <c r="J339" s="5" t="str">
        <f>IF(A339&lt;&gt;"",VLOOKUP(A339,Setting!A$11:B$50,2,FALSE),"")</f>
        <v/>
      </c>
      <c r="K339" s="20"/>
      <c r="L339" s="5" t="str">
        <f t="shared" si="45"/>
        <v/>
      </c>
      <c r="M339" t="str">
        <f t="shared" si="46"/>
        <v/>
      </c>
      <c r="N339" s="21"/>
      <c r="O339" s="26"/>
    </row>
    <row r="340" spans="1:15" ht="17.25" customHeight="1">
      <c r="A340" s="22"/>
      <c r="B340" s="27"/>
      <c r="C340" s="22"/>
      <c r="D340" s="19"/>
      <c r="F340" s="5"/>
      <c r="G340" s="20"/>
      <c r="H340" s="5"/>
      <c r="J340" s="5" t="str">
        <f>IF(A340&lt;&gt;"",VLOOKUP(A340,Setting!A$11:B$50,2,FALSE),"")</f>
        <v/>
      </c>
      <c r="K340" s="20"/>
      <c r="L340" s="5" t="str">
        <f t="shared" si="45"/>
        <v/>
      </c>
      <c r="M340" t="str">
        <f t="shared" si="46"/>
        <v/>
      </c>
      <c r="N340" s="21"/>
      <c r="O340" s="26"/>
    </row>
    <row r="341" spans="1:15" ht="17.25" customHeight="1">
      <c r="A341" s="22"/>
      <c r="B341" s="27"/>
      <c r="C341" s="22"/>
      <c r="D341" s="19"/>
      <c r="F341" s="5"/>
      <c r="G341" s="20"/>
      <c r="H341" s="5"/>
      <c r="J341" s="5" t="str">
        <f>IF(A341&lt;&gt;"",VLOOKUP(A341,Setting!A$11:B$50,2,FALSE),"")</f>
        <v/>
      </c>
      <c r="K341" s="20"/>
      <c r="L341" s="5" t="str">
        <f t="shared" si="45"/>
        <v/>
      </c>
      <c r="M341" t="str">
        <f t="shared" si="46"/>
        <v/>
      </c>
      <c r="N341" s="21"/>
      <c r="O341" s="26"/>
    </row>
    <row r="342" spans="1:15" ht="17.25" customHeight="1">
      <c r="A342" s="22"/>
      <c r="B342" s="27"/>
      <c r="C342" s="22"/>
      <c r="D342" s="19"/>
      <c r="F342" s="5"/>
      <c r="G342" s="20"/>
      <c r="H342" s="5"/>
      <c r="J342" s="5" t="str">
        <f>IF(A342&lt;&gt;"",VLOOKUP(A342,Setting!A$11:B$50,2,FALSE),"")</f>
        <v/>
      </c>
      <c r="K342" s="20"/>
      <c r="L342" s="5" t="str">
        <f t="shared" si="45"/>
        <v/>
      </c>
      <c r="M342" t="str">
        <f t="shared" si="46"/>
        <v/>
      </c>
      <c r="N342" s="21"/>
      <c r="O342" s="26"/>
    </row>
    <row r="343" spans="1:15" ht="17.25" customHeight="1">
      <c r="A343" s="22"/>
      <c r="B343" s="27"/>
      <c r="C343" s="22"/>
      <c r="D343" s="19"/>
      <c r="F343" s="5"/>
      <c r="G343" s="20"/>
      <c r="H343" s="5"/>
      <c r="J343" s="5" t="str">
        <f>IF(A343&lt;&gt;"",VLOOKUP(A343,Setting!A$11:B$50,2,FALSE),"")</f>
        <v/>
      </c>
      <c r="K343" s="20"/>
      <c r="L343" s="5" t="str">
        <f t="shared" si="45"/>
        <v/>
      </c>
      <c r="M343" t="str">
        <f t="shared" si="46"/>
        <v/>
      </c>
      <c r="N343" s="21"/>
      <c r="O343" s="26"/>
    </row>
    <row r="344" spans="1:15" ht="17.25" customHeight="1">
      <c r="A344" s="22"/>
      <c r="B344" s="27"/>
      <c r="C344" s="22"/>
      <c r="D344" s="19"/>
      <c r="F344" s="5"/>
      <c r="G344" s="20"/>
      <c r="H344" s="5"/>
      <c r="J344" s="5" t="str">
        <f>IF(A344&lt;&gt;"",VLOOKUP(A344,Setting!A$11:B$50,2,FALSE),"")</f>
        <v/>
      </c>
      <c r="K344" s="20"/>
      <c r="L344" s="5" t="str">
        <f t="shared" si="45"/>
        <v/>
      </c>
      <c r="M344" t="str">
        <f t="shared" si="46"/>
        <v/>
      </c>
      <c r="N344" s="21"/>
      <c r="O344" s="26"/>
    </row>
    <row r="345" spans="1:15" ht="17.25" customHeight="1">
      <c r="A345" s="22"/>
      <c r="B345" s="27"/>
      <c r="C345" s="22"/>
      <c r="D345" s="19"/>
      <c r="F345" s="5"/>
      <c r="G345" s="20"/>
      <c r="H345" s="5"/>
      <c r="J345" s="5" t="str">
        <f>IF(A345&lt;&gt;"",VLOOKUP(A345,Setting!A$11:B$50,2,FALSE),"")</f>
        <v/>
      </c>
      <c r="K345" s="20"/>
      <c r="L345" s="5" t="str">
        <f t="shared" ref="L345:L408" si="47">IF(D345&lt;&gt;"",TEXT(D345,"0.0%"),"")</f>
        <v/>
      </c>
      <c r="M345" t="str">
        <f t="shared" ref="M345:M408" si="48">IF(J345&lt;&gt;"",IF(ISERROR(K345)=FALSE,J345&amp;":"&amp;K345&amp;" ("&amp;L345&amp;")","Error"),"")</f>
        <v/>
      </c>
      <c r="N345" s="21"/>
      <c r="O345" s="26"/>
    </row>
    <row r="346" spans="1:15" ht="17.25" customHeight="1">
      <c r="A346" s="22"/>
      <c r="B346" s="27"/>
      <c r="C346" s="22"/>
      <c r="D346" s="19"/>
      <c r="F346" s="5"/>
      <c r="G346" s="20"/>
      <c r="H346" s="5"/>
      <c r="J346" s="5" t="str">
        <f>IF(A346&lt;&gt;"",VLOOKUP(A346,Setting!A$11:B$50,2,FALSE),"")</f>
        <v/>
      </c>
      <c r="K346" s="20"/>
      <c r="L346" s="5" t="str">
        <f t="shared" si="47"/>
        <v/>
      </c>
      <c r="M346" t="str">
        <f t="shared" si="48"/>
        <v/>
      </c>
      <c r="N346" s="21"/>
      <c r="O346" s="26"/>
    </row>
    <row r="347" spans="1:15" ht="17.25" customHeight="1">
      <c r="A347" s="22"/>
      <c r="B347" s="27"/>
      <c r="C347" s="22"/>
      <c r="D347" s="19"/>
      <c r="F347" s="5"/>
      <c r="G347" s="20"/>
      <c r="H347" s="5"/>
      <c r="J347" s="5" t="str">
        <f>IF(A347&lt;&gt;"",VLOOKUP(A347,Setting!A$11:B$50,2,FALSE),"")</f>
        <v/>
      </c>
      <c r="K347" s="20"/>
      <c r="L347" s="5" t="str">
        <f t="shared" si="47"/>
        <v/>
      </c>
      <c r="M347" t="str">
        <f t="shared" si="48"/>
        <v/>
      </c>
      <c r="N347" s="21"/>
      <c r="O347" s="26"/>
    </row>
    <row r="348" spans="1:15" ht="17.25" customHeight="1">
      <c r="A348" s="22"/>
      <c r="B348" s="27"/>
      <c r="C348" s="22"/>
      <c r="D348" s="19"/>
      <c r="F348" s="5"/>
      <c r="G348" s="20"/>
      <c r="H348" s="5"/>
      <c r="J348" s="5" t="str">
        <f>IF(A348&lt;&gt;"",VLOOKUP(A348,Setting!A$11:B$50,2,FALSE),"")</f>
        <v/>
      </c>
      <c r="K348" s="20"/>
      <c r="L348" s="5" t="str">
        <f t="shared" si="47"/>
        <v/>
      </c>
      <c r="M348" t="str">
        <f t="shared" si="48"/>
        <v/>
      </c>
      <c r="N348" s="21"/>
      <c r="O348" s="26"/>
    </row>
    <row r="349" spans="1:15" ht="17.25" customHeight="1">
      <c r="A349" s="22"/>
      <c r="B349" s="27"/>
      <c r="C349" s="22"/>
      <c r="D349" s="19"/>
      <c r="F349" s="5"/>
      <c r="G349" s="20"/>
      <c r="H349" s="5"/>
      <c r="J349" s="5" t="str">
        <f>IF(A349&lt;&gt;"",VLOOKUP(A349,Setting!A$11:B$50,2,FALSE),"")</f>
        <v/>
      </c>
      <c r="K349" s="20"/>
      <c r="L349" s="5" t="str">
        <f t="shared" si="47"/>
        <v/>
      </c>
      <c r="M349" t="str">
        <f t="shared" si="48"/>
        <v/>
      </c>
      <c r="N349" s="21"/>
      <c r="O349" s="26"/>
    </row>
    <row r="350" spans="1:15" ht="17.25" customHeight="1">
      <c r="A350" s="22"/>
      <c r="B350" s="27"/>
      <c r="C350" s="22"/>
      <c r="D350" s="19"/>
      <c r="F350" s="5"/>
      <c r="G350" s="20"/>
      <c r="H350" s="5"/>
      <c r="J350" s="5" t="str">
        <f>IF(A350&lt;&gt;"",VLOOKUP(A350,Setting!A$11:B$50,2,FALSE),"")</f>
        <v/>
      </c>
      <c r="K350" s="20"/>
      <c r="L350" s="5" t="str">
        <f t="shared" si="47"/>
        <v/>
      </c>
      <c r="M350" t="str">
        <f t="shared" si="48"/>
        <v/>
      </c>
      <c r="N350" s="21"/>
      <c r="O350" s="26"/>
    </row>
    <row r="351" spans="1:15" ht="17.25" customHeight="1">
      <c r="A351" s="22"/>
      <c r="B351" s="27"/>
      <c r="C351" s="22"/>
      <c r="D351" s="19"/>
      <c r="F351" s="5"/>
      <c r="G351" s="20"/>
      <c r="H351" s="5"/>
      <c r="J351" s="5" t="str">
        <f>IF(A351&lt;&gt;"",VLOOKUP(A351,Setting!A$11:B$50,2,FALSE),"")</f>
        <v/>
      </c>
      <c r="K351" s="20"/>
      <c r="L351" s="5" t="str">
        <f t="shared" si="47"/>
        <v/>
      </c>
      <c r="M351" t="str">
        <f t="shared" si="48"/>
        <v/>
      </c>
      <c r="N351" s="21"/>
      <c r="O351" s="26"/>
    </row>
    <row r="352" spans="1:15" ht="17.25" customHeight="1">
      <c r="A352" s="22"/>
      <c r="B352" s="27"/>
      <c r="C352" s="22"/>
      <c r="D352" s="19"/>
      <c r="F352" s="5"/>
      <c r="G352" s="20"/>
      <c r="H352" s="5"/>
      <c r="J352" s="5" t="str">
        <f>IF(A352&lt;&gt;"",VLOOKUP(A352,Setting!A$11:B$50,2,FALSE),"")</f>
        <v/>
      </c>
      <c r="K352" s="20"/>
      <c r="L352" s="5" t="str">
        <f t="shared" si="47"/>
        <v/>
      </c>
      <c r="M352" t="str">
        <f t="shared" si="48"/>
        <v/>
      </c>
      <c r="N352" s="21"/>
      <c r="O352" s="26"/>
    </row>
    <row r="353" spans="1:15" ht="17.25" customHeight="1">
      <c r="A353" s="22"/>
      <c r="B353" s="27"/>
      <c r="C353" s="22"/>
      <c r="D353" s="19"/>
      <c r="F353" s="5"/>
      <c r="G353" s="20"/>
      <c r="H353" s="5"/>
      <c r="J353" s="5" t="str">
        <f>IF(A353&lt;&gt;"",VLOOKUP(A353,Setting!A$11:B$50,2,FALSE),"")</f>
        <v/>
      </c>
      <c r="K353" s="20"/>
      <c r="L353" s="5" t="str">
        <f t="shared" si="47"/>
        <v/>
      </c>
      <c r="M353" t="str">
        <f t="shared" si="48"/>
        <v/>
      </c>
      <c r="N353" s="21"/>
      <c r="O353" s="26"/>
    </row>
    <row r="354" spans="1:15" ht="17.25" customHeight="1">
      <c r="A354" s="22"/>
      <c r="B354" s="27"/>
      <c r="C354" s="22"/>
      <c r="D354" s="19"/>
      <c r="F354" s="5"/>
      <c r="G354" s="20"/>
      <c r="H354" s="5"/>
      <c r="J354" s="5" t="str">
        <f>IF(A354&lt;&gt;"",VLOOKUP(A354,Setting!A$11:B$50,2,FALSE),"")</f>
        <v/>
      </c>
      <c r="K354" s="20"/>
      <c r="L354" s="5" t="str">
        <f t="shared" si="47"/>
        <v/>
      </c>
      <c r="M354" t="str">
        <f t="shared" si="48"/>
        <v/>
      </c>
      <c r="N354" s="21"/>
      <c r="O354" s="26"/>
    </row>
    <row r="355" spans="1:15" ht="17.25" customHeight="1">
      <c r="A355" s="22"/>
      <c r="B355" s="27"/>
      <c r="C355" s="22"/>
      <c r="D355" s="19"/>
      <c r="F355" s="5"/>
      <c r="G355" s="20"/>
      <c r="H355" s="5"/>
      <c r="J355" s="5" t="str">
        <f>IF(A355&lt;&gt;"",VLOOKUP(A355,Setting!A$11:B$50,2,FALSE),"")</f>
        <v/>
      </c>
      <c r="K355" s="20"/>
      <c r="L355" s="5" t="str">
        <f t="shared" si="47"/>
        <v/>
      </c>
      <c r="M355" t="str">
        <f t="shared" si="48"/>
        <v/>
      </c>
      <c r="N355" s="21"/>
      <c r="O355" s="26"/>
    </row>
    <row r="356" spans="1:15" ht="17.25" customHeight="1">
      <c r="A356" s="22"/>
      <c r="B356" s="27"/>
      <c r="C356" s="22"/>
      <c r="D356" s="19"/>
      <c r="F356" s="5"/>
      <c r="G356" s="20"/>
      <c r="H356" s="5"/>
      <c r="J356" s="5" t="str">
        <f>IF(A356&lt;&gt;"",VLOOKUP(A356,Setting!A$11:B$50,2,FALSE),"")</f>
        <v/>
      </c>
      <c r="K356" s="20"/>
      <c r="L356" s="5" t="str">
        <f t="shared" si="47"/>
        <v/>
      </c>
      <c r="M356" t="str">
        <f t="shared" si="48"/>
        <v/>
      </c>
      <c r="N356" s="21"/>
      <c r="O356" s="26"/>
    </row>
    <row r="357" spans="1:15" ht="17.25" customHeight="1">
      <c r="A357" s="22"/>
      <c r="B357" s="27"/>
      <c r="C357" s="22"/>
      <c r="D357" s="19"/>
      <c r="F357" s="5"/>
      <c r="G357" s="20"/>
      <c r="H357" s="5"/>
      <c r="J357" s="5" t="str">
        <f>IF(A357&lt;&gt;"",VLOOKUP(A357,Setting!A$11:B$50,2,FALSE),"")</f>
        <v/>
      </c>
      <c r="K357" s="20"/>
      <c r="L357" s="5" t="str">
        <f t="shared" si="47"/>
        <v/>
      </c>
      <c r="M357" t="str">
        <f t="shared" si="48"/>
        <v/>
      </c>
      <c r="N357" s="21"/>
      <c r="O357" s="26"/>
    </row>
    <row r="358" spans="1:15" ht="17.25" customHeight="1">
      <c r="A358" s="22"/>
      <c r="B358" s="27"/>
      <c r="C358" s="22"/>
      <c r="D358" s="19"/>
      <c r="F358" s="5"/>
      <c r="G358" s="20"/>
      <c r="H358" s="5"/>
      <c r="J358" s="5" t="str">
        <f>IF(A358&lt;&gt;"",VLOOKUP(A358,Setting!A$11:B$50,2,FALSE),"")</f>
        <v/>
      </c>
      <c r="K358" s="20"/>
      <c r="L358" s="5" t="str">
        <f t="shared" si="47"/>
        <v/>
      </c>
      <c r="M358" t="str">
        <f t="shared" si="48"/>
        <v/>
      </c>
      <c r="N358" s="21"/>
      <c r="O358" s="26"/>
    </row>
    <row r="359" spans="1:15" ht="17.25" customHeight="1">
      <c r="A359" s="22"/>
      <c r="B359" s="27"/>
      <c r="C359" s="22"/>
      <c r="D359" s="19"/>
      <c r="F359" s="5"/>
      <c r="G359" s="20"/>
      <c r="H359" s="5"/>
      <c r="J359" s="5" t="str">
        <f>IF(A359&lt;&gt;"",VLOOKUP(A359,Setting!A$11:B$50,2,FALSE),"")</f>
        <v/>
      </c>
      <c r="K359" s="20"/>
      <c r="L359" s="5" t="str">
        <f t="shared" si="47"/>
        <v/>
      </c>
      <c r="M359" t="str">
        <f t="shared" si="48"/>
        <v/>
      </c>
      <c r="N359" s="21"/>
      <c r="O359" s="26"/>
    </row>
    <row r="360" spans="1:15" ht="17.25" customHeight="1">
      <c r="A360" s="22"/>
      <c r="B360" s="27"/>
      <c r="C360" s="22"/>
      <c r="D360" s="19"/>
      <c r="F360" s="5"/>
      <c r="G360" s="20"/>
      <c r="H360" s="5"/>
      <c r="J360" s="5" t="str">
        <f>IF(A360&lt;&gt;"",VLOOKUP(A360,Setting!A$11:B$50,2,FALSE),"")</f>
        <v/>
      </c>
      <c r="K360" s="20"/>
      <c r="L360" s="5" t="str">
        <f t="shared" si="47"/>
        <v/>
      </c>
      <c r="M360" t="str">
        <f t="shared" si="48"/>
        <v/>
      </c>
      <c r="N360" s="21"/>
      <c r="O360" s="26"/>
    </row>
    <row r="361" spans="1:15" ht="17.25" customHeight="1">
      <c r="A361" s="22"/>
      <c r="B361" s="27"/>
      <c r="C361" s="22"/>
      <c r="D361" s="19"/>
      <c r="F361" s="5"/>
      <c r="G361" s="20"/>
      <c r="H361" s="5"/>
      <c r="J361" s="5" t="str">
        <f>IF(A361&lt;&gt;"",VLOOKUP(A361,Setting!A$11:B$50,2,FALSE),"")</f>
        <v/>
      </c>
      <c r="K361" s="20"/>
      <c r="L361" s="5" t="str">
        <f t="shared" si="47"/>
        <v/>
      </c>
      <c r="M361" t="str">
        <f t="shared" si="48"/>
        <v/>
      </c>
      <c r="N361" s="21"/>
      <c r="O361" s="26"/>
    </row>
    <row r="362" spans="1:15" ht="17.25" customHeight="1">
      <c r="A362" s="22"/>
      <c r="B362" s="27"/>
      <c r="C362" s="22"/>
      <c r="D362" s="19"/>
      <c r="F362" s="5"/>
      <c r="G362" s="20"/>
      <c r="H362" s="5"/>
      <c r="J362" s="5" t="str">
        <f>IF(A362&lt;&gt;"",VLOOKUP(A362,Setting!A$11:B$50,2,FALSE),"")</f>
        <v/>
      </c>
      <c r="K362" s="20"/>
      <c r="L362" s="5" t="str">
        <f t="shared" si="47"/>
        <v/>
      </c>
      <c r="M362" t="str">
        <f t="shared" si="48"/>
        <v/>
      </c>
      <c r="N362" s="21"/>
      <c r="O362" s="26"/>
    </row>
    <row r="363" spans="1:15" ht="17.25" customHeight="1">
      <c r="A363" s="22"/>
      <c r="B363" s="27"/>
      <c r="C363" s="22"/>
      <c r="D363" s="19"/>
      <c r="F363" s="5"/>
      <c r="G363" s="20"/>
      <c r="H363" s="5"/>
      <c r="J363" s="5" t="str">
        <f>IF(A363&lt;&gt;"",VLOOKUP(A363,Setting!A$11:B$50,2,FALSE),"")</f>
        <v/>
      </c>
      <c r="K363" s="20"/>
      <c r="L363" s="5" t="str">
        <f t="shared" si="47"/>
        <v/>
      </c>
      <c r="M363" t="str">
        <f t="shared" si="48"/>
        <v/>
      </c>
      <c r="N363" s="21"/>
      <c r="O363" s="26"/>
    </row>
    <row r="364" spans="1:15" ht="17.25" customHeight="1">
      <c r="A364" s="22"/>
      <c r="B364" s="27"/>
      <c r="C364" s="22"/>
      <c r="D364" s="19"/>
      <c r="F364" s="5"/>
      <c r="G364" s="20"/>
      <c r="H364" s="5"/>
      <c r="J364" s="5" t="str">
        <f>IF(A364&lt;&gt;"",VLOOKUP(A364,Setting!A$11:B$50,2,FALSE),"")</f>
        <v/>
      </c>
      <c r="K364" s="20"/>
      <c r="L364" s="5" t="str">
        <f t="shared" si="47"/>
        <v/>
      </c>
      <c r="M364" t="str">
        <f t="shared" si="48"/>
        <v/>
      </c>
      <c r="N364" s="21"/>
      <c r="O364" s="26"/>
    </row>
    <row r="365" spans="1:15" ht="17.25" customHeight="1">
      <c r="A365" s="22"/>
      <c r="B365" s="27"/>
      <c r="C365" s="22"/>
      <c r="D365" s="19"/>
      <c r="F365" s="5"/>
      <c r="G365" s="20"/>
      <c r="H365" s="5"/>
      <c r="J365" s="5" t="str">
        <f>IF(A365&lt;&gt;"",VLOOKUP(A365,Setting!A$11:B$50,2,FALSE),"")</f>
        <v/>
      </c>
      <c r="K365" s="20"/>
      <c r="L365" s="5" t="str">
        <f t="shared" si="47"/>
        <v/>
      </c>
      <c r="M365" t="str">
        <f t="shared" si="48"/>
        <v/>
      </c>
      <c r="N365" s="21"/>
      <c r="O365" s="26"/>
    </row>
    <row r="366" spans="1:15" ht="17.25" customHeight="1">
      <c r="A366" s="22"/>
      <c r="B366" s="27"/>
      <c r="C366" s="22"/>
      <c r="D366" s="19"/>
      <c r="F366" s="5"/>
      <c r="G366" s="20"/>
      <c r="H366" s="5"/>
      <c r="J366" s="5" t="str">
        <f>IF(A366&lt;&gt;"",VLOOKUP(A366,Setting!A$11:B$50,2,FALSE),"")</f>
        <v/>
      </c>
      <c r="K366" s="20"/>
      <c r="L366" s="5" t="str">
        <f t="shared" si="47"/>
        <v/>
      </c>
      <c r="M366" t="str">
        <f t="shared" si="48"/>
        <v/>
      </c>
      <c r="N366" s="21"/>
      <c r="O366" s="26"/>
    </row>
    <row r="367" spans="1:15" ht="17.25" customHeight="1">
      <c r="A367" s="22"/>
      <c r="B367" s="27"/>
      <c r="C367" s="22"/>
      <c r="D367" s="19"/>
      <c r="F367" s="5"/>
      <c r="G367" s="20"/>
      <c r="H367" s="5"/>
      <c r="J367" s="5" t="str">
        <f>IF(A367&lt;&gt;"",VLOOKUP(A367,Setting!A$11:B$50,2,FALSE),"")</f>
        <v/>
      </c>
      <c r="K367" s="20"/>
      <c r="L367" s="5" t="str">
        <f t="shared" si="47"/>
        <v/>
      </c>
      <c r="M367" t="str">
        <f t="shared" si="48"/>
        <v/>
      </c>
      <c r="N367" s="21"/>
      <c r="O367" s="26"/>
    </row>
    <row r="368" spans="1:15" ht="17.25" customHeight="1">
      <c r="A368" s="22"/>
      <c r="B368" s="27"/>
      <c r="C368" s="22"/>
      <c r="D368" s="19"/>
      <c r="F368" s="5"/>
      <c r="G368" s="20"/>
      <c r="H368" s="5"/>
      <c r="J368" s="5" t="str">
        <f>IF(A368&lt;&gt;"",VLOOKUP(A368,Setting!A$11:B$50,2,FALSE),"")</f>
        <v/>
      </c>
      <c r="K368" s="20"/>
      <c r="L368" s="5" t="str">
        <f t="shared" si="47"/>
        <v/>
      </c>
      <c r="M368" t="str">
        <f t="shared" si="48"/>
        <v/>
      </c>
      <c r="N368" s="21"/>
      <c r="O368" s="26"/>
    </row>
    <row r="369" spans="1:15" ht="17.25" customHeight="1">
      <c r="A369" s="22"/>
      <c r="B369" s="27"/>
      <c r="C369" s="22"/>
      <c r="D369" s="19"/>
      <c r="F369" s="5"/>
      <c r="G369" s="20"/>
      <c r="H369" s="5"/>
      <c r="J369" s="5" t="str">
        <f>IF(A369&lt;&gt;"",VLOOKUP(A369,Setting!A$11:B$50,2,FALSE),"")</f>
        <v/>
      </c>
      <c r="K369" s="20"/>
      <c r="L369" s="5" t="str">
        <f t="shared" si="47"/>
        <v/>
      </c>
      <c r="M369" t="str">
        <f t="shared" si="48"/>
        <v/>
      </c>
      <c r="N369" s="21"/>
      <c r="O369" s="26"/>
    </row>
    <row r="370" spans="1:15" ht="17.25" customHeight="1">
      <c r="A370" s="22"/>
      <c r="B370" s="27"/>
      <c r="C370" s="22"/>
      <c r="D370" s="19"/>
      <c r="F370" s="5"/>
      <c r="G370" s="20"/>
      <c r="H370" s="5"/>
      <c r="J370" s="5" t="str">
        <f>IF(A370&lt;&gt;"",VLOOKUP(A370,Setting!A$11:B$50,2,FALSE),"")</f>
        <v/>
      </c>
      <c r="K370" s="20"/>
      <c r="L370" s="5" t="str">
        <f t="shared" si="47"/>
        <v/>
      </c>
      <c r="M370" t="str">
        <f t="shared" si="48"/>
        <v/>
      </c>
      <c r="N370" s="21"/>
      <c r="O370" s="26"/>
    </row>
    <row r="371" spans="1:15" ht="17.25" customHeight="1">
      <c r="A371" s="22"/>
      <c r="B371" s="27"/>
      <c r="C371" s="22"/>
      <c r="D371" s="19"/>
      <c r="F371" s="5"/>
      <c r="G371" s="20"/>
      <c r="H371" s="5"/>
      <c r="J371" s="5" t="str">
        <f>IF(A371&lt;&gt;"",VLOOKUP(A371,Setting!A$11:B$50,2,FALSE),"")</f>
        <v/>
      </c>
      <c r="K371" s="20"/>
      <c r="L371" s="5" t="str">
        <f t="shared" si="47"/>
        <v/>
      </c>
      <c r="M371" t="str">
        <f t="shared" si="48"/>
        <v/>
      </c>
      <c r="N371" s="21"/>
      <c r="O371" s="26"/>
    </row>
    <row r="372" spans="1:15" ht="17.25" customHeight="1">
      <c r="A372" s="22"/>
      <c r="B372" s="27"/>
      <c r="C372" s="22"/>
      <c r="D372" s="19"/>
      <c r="F372" s="5"/>
      <c r="G372" s="20"/>
      <c r="H372" s="5"/>
      <c r="J372" s="5" t="str">
        <f>IF(A372&lt;&gt;"",VLOOKUP(A372,Setting!A$11:B$50,2,FALSE),"")</f>
        <v/>
      </c>
      <c r="K372" s="20"/>
      <c r="L372" s="5" t="str">
        <f t="shared" si="47"/>
        <v/>
      </c>
      <c r="M372" t="str">
        <f t="shared" si="48"/>
        <v/>
      </c>
      <c r="N372" s="21"/>
      <c r="O372" s="26"/>
    </row>
    <row r="373" spans="1:15" ht="17.25" customHeight="1">
      <c r="A373" s="22"/>
      <c r="B373" s="27"/>
      <c r="C373" s="22"/>
      <c r="D373" s="19"/>
      <c r="F373" s="5"/>
      <c r="G373" s="20"/>
      <c r="H373" s="5"/>
      <c r="J373" s="5" t="str">
        <f>IF(A373&lt;&gt;"",VLOOKUP(A373,Setting!A$11:B$50,2,FALSE),"")</f>
        <v/>
      </c>
      <c r="K373" s="20"/>
      <c r="L373" s="5" t="str">
        <f t="shared" si="47"/>
        <v/>
      </c>
      <c r="M373" t="str">
        <f t="shared" si="48"/>
        <v/>
      </c>
      <c r="N373" s="21"/>
      <c r="O373" s="26"/>
    </row>
    <row r="374" spans="1:15" ht="17.25" customHeight="1">
      <c r="A374" s="22"/>
      <c r="B374" s="27"/>
      <c r="C374" s="22"/>
      <c r="D374" s="19"/>
      <c r="F374" s="5"/>
      <c r="G374" s="20"/>
      <c r="H374" s="5"/>
      <c r="J374" s="5" t="str">
        <f>IF(A374&lt;&gt;"",VLOOKUP(A374,Setting!A$11:B$50,2,FALSE),"")</f>
        <v/>
      </c>
      <c r="K374" s="20"/>
      <c r="L374" s="5" t="str">
        <f t="shared" si="47"/>
        <v/>
      </c>
      <c r="M374" t="str">
        <f t="shared" si="48"/>
        <v/>
      </c>
      <c r="N374" s="21"/>
      <c r="O374" s="26"/>
    </row>
    <row r="375" spans="1:15" ht="17.25" customHeight="1">
      <c r="A375" s="22"/>
      <c r="B375" s="27"/>
      <c r="C375" s="22"/>
      <c r="D375" s="19"/>
      <c r="F375" s="5"/>
      <c r="G375" s="20"/>
      <c r="H375" s="5"/>
      <c r="J375" s="5" t="str">
        <f>IF(A375&lt;&gt;"",VLOOKUP(A375,Setting!A$11:B$50,2,FALSE),"")</f>
        <v/>
      </c>
      <c r="K375" s="20"/>
      <c r="L375" s="5" t="str">
        <f t="shared" si="47"/>
        <v/>
      </c>
      <c r="M375" t="str">
        <f t="shared" si="48"/>
        <v/>
      </c>
      <c r="N375" s="21"/>
      <c r="O375" s="26"/>
    </row>
    <row r="376" spans="1:15" ht="17.25" customHeight="1">
      <c r="A376" s="22"/>
      <c r="B376" s="27"/>
      <c r="C376" s="22"/>
      <c r="D376" s="19"/>
      <c r="F376" s="5"/>
      <c r="G376" s="20"/>
      <c r="H376" s="5"/>
      <c r="J376" s="5" t="str">
        <f>IF(A376&lt;&gt;"",VLOOKUP(A376,Setting!A$11:B$50,2,FALSE),"")</f>
        <v/>
      </c>
      <c r="K376" s="20"/>
      <c r="L376" s="5" t="str">
        <f t="shared" si="47"/>
        <v/>
      </c>
      <c r="M376" t="str">
        <f t="shared" si="48"/>
        <v/>
      </c>
      <c r="N376" s="21"/>
      <c r="O376" s="26"/>
    </row>
    <row r="377" spans="1:15" ht="17.25" customHeight="1">
      <c r="A377" s="22"/>
      <c r="B377" s="27"/>
      <c r="C377" s="22"/>
      <c r="D377" s="19"/>
      <c r="F377" s="5"/>
      <c r="G377" s="20"/>
      <c r="H377" s="5"/>
      <c r="J377" s="5" t="str">
        <f>IF(A377&lt;&gt;"",VLOOKUP(A377,Setting!A$11:B$50,2,FALSE),"")</f>
        <v/>
      </c>
      <c r="K377" s="20"/>
      <c r="L377" s="5" t="str">
        <f t="shared" si="47"/>
        <v/>
      </c>
      <c r="M377" t="str">
        <f t="shared" si="48"/>
        <v/>
      </c>
      <c r="N377" s="21"/>
      <c r="O377" s="26"/>
    </row>
    <row r="378" spans="1:15" ht="17.25" customHeight="1">
      <c r="A378" s="22"/>
      <c r="B378" s="27"/>
      <c r="C378" s="22"/>
      <c r="D378" s="19"/>
      <c r="F378" s="5"/>
      <c r="G378" s="20"/>
      <c r="H378" s="5"/>
      <c r="J378" s="5" t="str">
        <f>IF(A378&lt;&gt;"",VLOOKUP(A378,Setting!A$11:B$50,2,FALSE),"")</f>
        <v/>
      </c>
      <c r="K378" s="20"/>
      <c r="L378" s="5" t="str">
        <f t="shared" si="47"/>
        <v/>
      </c>
      <c r="M378" t="str">
        <f t="shared" si="48"/>
        <v/>
      </c>
      <c r="N378" s="21"/>
      <c r="O378" s="26"/>
    </row>
    <row r="379" spans="1:15" ht="17.25" customHeight="1">
      <c r="A379" s="22"/>
      <c r="B379" s="27"/>
      <c r="C379" s="22"/>
      <c r="D379" s="19"/>
      <c r="F379" s="5"/>
      <c r="G379" s="20"/>
      <c r="H379" s="5"/>
      <c r="J379" s="5" t="str">
        <f>IF(A379&lt;&gt;"",VLOOKUP(A379,Setting!A$11:B$50,2,FALSE),"")</f>
        <v/>
      </c>
      <c r="K379" s="20"/>
      <c r="L379" s="5" t="str">
        <f t="shared" si="47"/>
        <v/>
      </c>
      <c r="M379" t="str">
        <f t="shared" si="48"/>
        <v/>
      </c>
      <c r="N379" s="21"/>
      <c r="O379" s="26"/>
    </row>
    <row r="380" spans="1:15" ht="17.25" customHeight="1">
      <c r="A380" s="22"/>
      <c r="B380" s="27"/>
      <c r="C380" s="22"/>
      <c r="D380" s="19"/>
      <c r="F380" s="5"/>
      <c r="G380" s="20"/>
      <c r="H380" s="5"/>
      <c r="J380" s="5" t="str">
        <f>IF(A380&lt;&gt;"",VLOOKUP(A380,Setting!A$11:B$50,2,FALSE),"")</f>
        <v/>
      </c>
      <c r="K380" s="20"/>
      <c r="L380" s="5" t="str">
        <f t="shared" si="47"/>
        <v/>
      </c>
      <c r="M380" t="str">
        <f t="shared" si="48"/>
        <v/>
      </c>
      <c r="N380" s="21"/>
      <c r="O380" s="26"/>
    </row>
    <row r="381" spans="1:15" ht="17.25" customHeight="1">
      <c r="A381" s="22"/>
      <c r="B381" s="27"/>
      <c r="C381" s="22"/>
      <c r="D381" s="19"/>
      <c r="F381" s="5"/>
      <c r="G381" s="20"/>
      <c r="H381" s="5"/>
      <c r="J381" s="5" t="str">
        <f>IF(A381&lt;&gt;"",VLOOKUP(A381,Setting!A$11:B$50,2,FALSE),"")</f>
        <v/>
      </c>
      <c r="K381" s="20"/>
      <c r="L381" s="5" t="str">
        <f t="shared" si="47"/>
        <v/>
      </c>
      <c r="M381" t="str">
        <f t="shared" si="48"/>
        <v/>
      </c>
      <c r="N381" s="21"/>
      <c r="O381" s="26"/>
    </row>
    <row r="382" spans="1:15" ht="17.25" customHeight="1">
      <c r="A382" s="22"/>
      <c r="B382" s="27"/>
      <c r="C382" s="22"/>
      <c r="D382" s="19"/>
      <c r="F382" s="5"/>
      <c r="G382" s="20"/>
      <c r="H382" s="5"/>
      <c r="J382" s="5" t="str">
        <f>IF(A382&lt;&gt;"",VLOOKUP(A382,Setting!A$11:B$50,2,FALSE),"")</f>
        <v/>
      </c>
      <c r="K382" s="20"/>
      <c r="L382" s="5" t="str">
        <f t="shared" si="47"/>
        <v/>
      </c>
      <c r="M382" t="str">
        <f t="shared" si="48"/>
        <v/>
      </c>
      <c r="N382" s="21"/>
      <c r="O382" s="26"/>
    </row>
    <row r="383" spans="1:15" ht="17.25" customHeight="1">
      <c r="A383" s="22"/>
      <c r="B383" s="27"/>
      <c r="C383" s="22"/>
      <c r="D383" s="19"/>
      <c r="F383" s="5"/>
      <c r="G383" s="20"/>
      <c r="H383" s="5"/>
      <c r="J383" s="5" t="str">
        <f>IF(A383&lt;&gt;"",VLOOKUP(A383,Setting!A$11:B$50,2,FALSE),"")</f>
        <v/>
      </c>
      <c r="K383" s="20"/>
      <c r="L383" s="5" t="str">
        <f t="shared" si="47"/>
        <v/>
      </c>
      <c r="M383" t="str">
        <f t="shared" si="48"/>
        <v/>
      </c>
      <c r="N383" s="21"/>
      <c r="O383" s="26"/>
    </row>
    <row r="384" spans="1:15" ht="17.25" customHeight="1">
      <c r="A384" s="22"/>
      <c r="B384" s="27"/>
      <c r="C384" s="22"/>
      <c r="D384" s="19"/>
      <c r="F384" s="5"/>
      <c r="G384" s="20"/>
      <c r="H384" s="5"/>
      <c r="J384" s="5" t="str">
        <f>IF(A384&lt;&gt;"",VLOOKUP(A384,Setting!A$11:B$50,2,FALSE),"")</f>
        <v/>
      </c>
      <c r="K384" s="20"/>
      <c r="L384" s="5" t="str">
        <f t="shared" si="47"/>
        <v/>
      </c>
      <c r="M384" t="str">
        <f t="shared" si="48"/>
        <v/>
      </c>
      <c r="N384" s="21"/>
      <c r="O384" s="26"/>
    </row>
    <row r="385" spans="1:15" ht="17.25" customHeight="1">
      <c r="A385" s="22"/>
      <c r="B385" s="27"/>
      <c r="C385" s="22"/>
      <c r="D385" s="19"/>
      <c r="F385" s="5"/>
      <c r="G385" s="20"/>
      <c r="H385" s="5"/>
      <c r="J385" s="5" t="str">
        <f>IF(A385&lt;&gt;"",VLOOKUP(A385,Setting!A$11:B$50,2,FALSE),"")</f>
        <v/>
      </c>
      <c r="K385" s="20"/>
      <c r="L385" s="5" t="str">
        <f t="shared" si="47"/>
        <v/>
      </c>
      <c r="M385" t="str">
        <f t="shared" si="48"/>
        <v/>
      </c>
      <c r="N385" s="21"/>
      <c r="O385" s="26"/>
    </row>
    <row r="386" spans="1:15" ht="17.25" customHeight="1">
      <c r="A386" s="22"/>
      <c r="B386" s="27"/>
      <c r="C386" s="22"/>
      <c r="D386" s="19"/>
      <c r="F386" s="5"/>
      <c r="G386" s="20"/>
      <c r="H386" s="5"/>
      <c r="J386" s="5" t="str">
        <f>IF(A386&lt;&gt;"",VLOOKUP(A386,Setting!A$11:B$50,2,FALSE),"")</f>
        <v/>
      </c>
      <c r="K386" s="20"/>
      <c r="L386" s="5" t="str">
        <f t="shared" si="47"/>
        <v/>
      </c>
      <c r="M386" t="str">
        <f t="shared" si="48"/>
        <v/>
      </c>
      <c r="N386" s="21"/>
      <c r="O386" s="26"/>
    </row>
    <row r="387" spans="1:15" ht="17.25" customHeight="1">
      <c r="A387" s="22"/>
      <c r="B387" s="27"/>
      <c r="C387" s="22"/>
      <c r="D387" s="19"/>
      <c r="F387" s="5"/>
      <c r="G387" s="20"/>
      <c r="H387" s="5"/>
      <c r="J387" s="5" t="str">
        <f>IF(A387&lt;&gt;"",VLOOKUP(A387,Setting!A$11:B$50,2,FALSE),"")</f>
        <v/>
      </c>
      <c r="K387" s="20"/>
      <c r="L387" s="5" t="str">
        <f t="shared" si="47"/>
        <v/>
      </c>
      <c r="M387" t="str">
        <f t="shared" si="48"/>
        <v/>
      </c>
      <c r="N387" s="21"/>
      <c r="O387" s="26"/>
    </row>
    <row r="388" spans="1:15" ht="17.25" customHeight="1">
      <c r="A388" s="22"/>
      <c r="B388" s="27"/>
      <c r="C388" s="22"/>
      <c r="D388" s="19"/>
      <c r="F388" s="5"/>
      <c r="G388" s="20"/>
      <c r="H388" s="5"/>
      <c r="J388" s="5" t="str">
        <f>IF(A388&lt;&gt;"",VLOOKUP(A388,Setting!A$11:B$50,2,FALSE),"")</f>
        <v/>
      </c>
      <c r="K388" s="20"/>
      <c r="L388" s="5" t="str">
        <f t="shared" si="47"/>
        <v/>
      </c>
      <c r="M388" t="str">
        <f t="shared" si="48"/>
        <v/>
      </c>
      <c r="N388" s="21"/>
      <c r="O388" s="26"/>
    </row>
    <row r="389" spans="1:15" ht="17.25" customHeight="1">
      <c r="A389" s="22"/>
      <c r="B389" s="27"/>
      <c r="C389" s="22"/>
      <c r="D389" s="19"/>
      <c r="F389" s="5"/>
      <c r="G389" s="20"/>
      <c r="H389" s="5"/>
      <c r="J389" s="5" t="str">
        <f>IF(A389&lt;&gt;"",VLOOKUP(A389,Setting!A$11:B$50,2,FALSE),"")</f>
        <v/>
      </c>
      <c r="K389" s="20"/>
      <c r="L389" s="5" t="str">
        <f t="shared" si="47"/>
        <v/>
      </c>
      <c r="M389" t="str">
        <f t="shared" si="48"/>
        <v/>
      </c>
      <c r="N389" s="21"/>
      <c r="O389" s="26"/>
    </row>
    <row r="390" spans="1:15" ht="17.25" customHeight="1">
      <c r="A390" s="22"/>
      <c r="B390" s="27"/>
      <c r="C390" s="22"/>
      <c r="D390" s="19"/>
      <c r="F390" s="5"/>
      <c r="G390" s="20"/>
      <c r="H390" s="5"/>
      <c r="J390" s="5" t="str">
        <f>IF(A390&lt;&gt;"",VLOOKUP(A390,Setting!A$11:B$50,2,FALSE),"")</f>
        <v/>
      </c>
      <c r="K390" s="20"/>
      <c r="L390" s="5" t="str">
        <f t="shared" si="47"/>
        <v/>
      </c>
      <c r="M390" t="str">
        <f t="shared" si="48"/>
        <v/>
      </c>
      <c r="N390" s="21"/>
      <c r="O390" s="26"/>
    </row>
    <row r="391" spans="1:15" ht="17.25" customHeight="1">
      <c r="A391" s="22"/>
      <c r="B391" s="27"/>
      <c r="C391" s="22"/>
      <c r="D391" s="19"/>
      <c r="F391" s="5"/>
      <c r="G391" s="20"/>
      <c r="H391" s="5"/>
      <c r="J391" s="5" t="str">
        <f>IF(A391&lt;&gt;"",VLOOKUP(A391,Setting!A$11:B$50,2,FALSE),"")</f>
        <v/>
      </c>
      <c r="K391" s="20"/>
      <c r="L391" s="5" t="str">
        <f t="shared" si="47"/>
        <v/>
      </c>
      <c r="M391" t="str">
        <f t="shared" si="48"/>
        <v/>
      </c>
      <c r="N391" s="21"/>
      <c r="O391" s="26"/>
    </row>
    <row r="392" spans="1:15" ht="17.25" customHeight="1">
      <c r="A392" s="22"/>
      <c r="B392" s="27"/>
      <c r="C392" s="22"/>
      <c r="D392" s="19"/>
      <c r="F392" s="5"/>
      <c r="G392" s="20"/>
      <c r="H392" s="5"/>
      <c r="J392" s="5" t="str">
        <f>IF(A392&lt;&gt;"",VLOOKUP(A392,Setting!A$11:B$50,2,FALSE),"")</f>
        <v/>
      </c>
      <c r="K392" s="20"/>
      <c r="L392" s="5" t="str">
        <f t="shared" si="47"/>
        <v/>
      </c>
      <c r="M392" t="str">
        <f t="shared" si="48"/>
        <v/>
      </c>
      <c r="N392" s="21"/>
      <c r="O392" s="26"/>
    </row>
    <row r="393" spans="1:15" ht="17.25" customHeight="1">
      <c r="A393" s="22"/>
      <c r="B393" s="27"/>
      <c r="C393" s="22"/>
      <c r="D393" s="19"/>
      <c r="F393" s="5"/>
      <c r="G393" s="20"/>
      <c r="H393" s="5"/>
      <c r="J393" s="5" t="str">
        <f>IF(A393&lt;&gt;"",VLOOKUP(A393,Setting!A$11:B$50,2,FALSE),"")</f>
        <v/>
      </c>
      <c r="K393" s="20"/>
      <c r="L393" s="5" t="str">
        <f t="shared" si="47"/>
        <v/>
      </c>
      <c r="M393" t="str">
        <f t="shared" si="48"/>
        <v/>
      </c>
      <c r="N393" s="21"/>
      <c r="O393" s="26"/>
    </row>
    <row r="394" spans="1:15" ht="17.25" customHeight="1">
      <c r="A394" s="22"/>
      <c r="B394" s="27"/>
      <c r="C394" s="22"/>
      <c r="D394" s="19"/>
      <c r="F394" s="5"/>
      <c r="G394" s="20"/>
      <c r="H394" s="5"/>
      <c r="J394" s="5" t="str">
        <f>IF(A394&lt;&gt;"",VLOOKUP(A394,Setting!A$11:B$50,2,FALSE),"")</f>
        <v/>
      </c>
      <c r="K394" s="20"/>
      <c r="L394" s="5" t="str">
        <f t="shared" si="47"/>
        <v/>
      </c>
      <c r="M394" t="str">
        <f t="shared" si="48"/>
        <v/>
      </c>
      <c r="N394" s="21"/>
      <c r="O394" s="26"/>
    </row>
    <row r="395" spans="1:15" ht="17.25" customHeight="1">
      <c r="A395" s="22"/>
      <c r="B395" s="27"/>
      <c r="C395" s="22"/>
      <c r="D395" s="19"/>
      <c r="F395" s="5"/>
      <c r="G395" s="20"/>
      <c r="H395" s="5"/>
      <c r="J395" s="5" t="str">
        <f>IF(A395&lt;&gt;"",VLOOKUP(A395,Setting!A$11:B$50,2,FALSE),"")</f>
        <v/>
      </c>
      <c r="K395" s="20"/>
      <c r="L395" s="5" t="str">
        <f t="shared" si="47"/>
        <v/>
      </c>
      <c r="M395" t="str">
        <f t="shared" si="48"/>
        <v/>
      </c>
      <c r="N395" s="21"/>
      <c r="O395" s="26"/>
    </row>
    <row r="396" spans="1:15" ht="17.25" customHeight="1">
      <c r="A396" s="22"/>
      <c r="B396" s="27"/>
      <c r="C396" s="22"/>
      <c r="D396" s="19"/>
      <c r="F396" s="5"/>
      <c r="G396" s="20"/>
      <c r="H396" s="5"/>
      <c r="J396" s="5" t="str">
        <f>IF(A396&lt;&gt;"",VLOOKUP(A396,Setting!A$11:B$50,2,FALSE),"")</f>
        <v/>
      </c>
      <c r="K396" s="20"/>
      <c r="L396" s="5" t="str">
        <f t="shared" si="47"/>
        <v/>
      </c>
      <c r="M396" t="str">
        <f t="shared" si="48"/>
        <v/>
      </c>
      <c r="N396" s="21"/>
      <c r="O396" s="26"/>
    </row>
    <row r="397" spans="1:15" ht="17.25" customHeight="1">
      <c r="A397" s="22"/>
      <c r="B397" s="27"/>
      <c r="C397" s="22"/>
      <c r="D397" s="19"/>
      <c r="F397" s="5"/>
      <c r="G397" s="20"/>
      <c r="H397" s="5"/>
      <c r="J397" s="5" t="str">
        <f>IF(A397&lt;&gt;"",VLOOKUP(A397,Setting!A$11:B$50,2,FALSE),"")</f>
        <v/>
      </c>
      <c r="K397" s="20"/>
      <c r="L397" s="5" t="str">
        <f t="shared" si="47"/>
        <v/>
      </c>
      <c r="M397" t="str">
        <f t="shared" si="48"/>
        <v/>
      </c>
      <c r="N397" s="21"/>
      <c r="O397" s="26"/>
    </row>
    <row r="398" spans="1:15" ht="17.25" customHeight="1">
      <c r="A398" s="22"/>
      <c r="B398" s="27"/>
      <c r="C398" s="22"/>
      <c r="D398" s="19"/>
      <c r="F398" s="5"/>
      <c r="G398" s="20"/>
      <c r="H398" s="5"/>
      <c r="J398" s="5" t="str">
        <f>IF(A398&lt;&gt;"",VLOOKUP(A398,Setting!A$11:B$50,2,FALSE),"")</f>
        <v/>
      </c>
      <c r="K398" s="20"/>
      <c r="L398" s="5" t="str">
        <f t="shared" si="47"/>
        <v/>
      </c>
      <c r="M398" t="str">
        <f t="shared" si="48"/>
        <v/>
      </c>
      <c r="N398" s="21"/>
      <c r="O398" s="26"/>
    </row>
    <row r="399" spans="1:15" ht="17.25" customHeight="1">
      <c r="A399" s="22"/>
      <c r="B399" s="27"/>
      <c r="C399" s="22"/>
      <c r="D399" s="19"/>
      <c r="F399" s="5"/>
      <c r="G399" s="20"/>
      <c r="H399" s="5"/>
      <c r="J399" s="5" t="str">
        <f>IF(A399&lt;&gt;"",VLOOKUP(A399,Setting!A$11:B$50,2,FALSE),"")</f>
        <v/>
      </c>
      <c r="K399" s="20"/>
      <c r="L399" s="5" t="str">
        <f t="shared" si="47"/>
        <v/>
      </c>
      <c r="M399" t="str">
        <f t="shared" si="48"/>
        <v/>
      </c>
      <c r="N399" s="21"/>
      <c r="O399" s="26"/>
    </row>
    <row r="400" spans="1:15" ht="17.25" customHeight="1">
      <c r="A400" s="22"/>
      <c r="B400" s="27"/>
      <c r="C400" s="22"/>
      <c r="D400" s="19"/>
      <c r="F400" s="5"/>
      <c r="G400" s="20"/>
      <c r="H400" s="5"/>
      <c r="J400" s="5" t="str">
        <f>IF(A400&lt;&gt;"",VLOOKUP(A400,Setting!A$11:B$50,2,FALSE),"")</f>
        <v/>
      </c>
      <c r="K400" s="20"/>
      <c r="L400" s="5" t="str">
        <f t="shared" si="47"/>
        <v/>
      </c>
      <c r="M400" t="str">
        <f t="shared" si="48"/>
        <v/>
      </c>
      <c r="N400" s="21"/>
      <c r="O400" s="26"/>
    </row>
    <row r="401" spans="1:15" ht="17.25" customHeight="1">
      <c r="A401" s="22"/>
      <c r="B401" s="27"/>
      <c r="C401" s="22"/>
      <c r="D401" s="19"/>
      <c r="F401" s="5"/>
      <c r="G401" s="20"/>
      <c r="H401" s="5"/>
      <c r="J401" s="5" t="str">
        <f>IF(A401&lt;&gt;"",VLOOKUP(A401,Setting!A$11:B$50,2,FALSE),"")</f>
        <v/>
      </c>
      <c r="K401" s="20"/>
      <c r="L401" s="5" t="str">
        <f t="shared" si="47"/>
        <v/>
      </c>
      <c r="M401" t="str">
        <f t="shared" si="48"/>
        <v/>
      </c>
      <c r="N401" s="21"/>
      <c r="O401" s="26"/>
    </row>
    <row r="402" spans="1:15" ht="17.25" customHeight="1">
      <c r="A402" s="22"/>
      <c r="B402" s="27"/>
      <c r="C402" s="22"/>
      <c r="D402" s="19"/>
      <c r="F402" s="5"/>
      <c r="G402" s="20"/>
      <c r="H402" s="5"/>
      <c r="J402" s="5" t="str">
        <f>IF(A402&lt;&gt;"",VLOOKUP(A402,Setting!A$11:B$50,2,FALSE),"")</f>
        <v/>
      </c>
      <c r="K402" s="20"/>
      <c r="L402" s="5" t="str">
        <f t="shared" si="47"/>
        <v/>
      </c>
      <c r="M402" t="str">
        <f t="shared" si="48"/>
        <v/>
      </c>
      <c r="N402" s="21"/>
      <c r="O402" s="26"/>
    </row>
    <row r="403" spans="1:15" ht="17.25" customHeight="1">
      <c r="A403" s="22"/>
      <c r="B403" s="27"/>
      <c r="C403" s="22"/>
      <c r="D403" s="19"/>
      <c r="F403" s="5"/>
      <c r="G403" s="20"/>
      <c r="H403" s="5"/>
      <c r="J403" s="5" t="str">
        <f>IF(A403&lt;&gt;"",VLOOKUP(A403,Setting!A$11:B$50,2,FALSE),"")</f>
        <v/>
      </c>
      <c r="K403" s="20"/>
      <c r="L403" s="5" t="str">
        <f t="shared" si="47"/>
        <v/>
      </c>
      <c r="M403" t="str">
        <f t="shared" si="48"/>
        <v/>
      </c>
      <c r="N403" s="21"/>
      <c r="O403" s="26"/>
    </row>
    <row r="404" spans="1:15" ht="17.25" customHeight="1">
      <c r="A404" s="22"/>
      <c r="B404" s="27"/>
      <c r="C404" s="22"/>
      <c r="D404" s="19"/>
      <c r="F404" s="5"/>
      <c r="G404" s="20"/>
      <c r="H404" s="5"/>
      <c r="J404" s="5" t="str">
        <f>IF(A404&lt;&gt;"",VLOOKUP(A404,Setting!A$11:B$50,2,FALSE),"")</f>
        <v/>
      </c>
      <c r="K404" s="20"/>
      <c r="L404" s="5" t="str">
        <f t="shared" si="47"/>
        <v/>
      </c>
      <c r="M404" t="str">
        <f t="shared" si="48"/>
        <v/>
      </c>
      <c r="N404" s="21"/>
      <c r="O404" s="26"/>
    </row>
    <row r="405" spans="1:15" ht="17.25" customHeight="1">
      <c r="A405" s="22"/>
      <c r="B405" s="27"/>
      <c r="C405" s="22"/>
      <c r="D405" s="19"/>
      <c r="F405" s="5"/>
      <c r="G405" s="20"/>
      <c r="H405" s="5"/>
      <c r="J405" s="5" t="str">
        <f>IF(A405&lt;&gt;"",VLOOKUP(A405,Setting!A$11:B$50,2,FALSE),"")</f>
        <v/>
      </c>
      <c r="K405" s="20"/>
      <c r="L405" s="5" t="str">
        <f t="shared" si="47"/>
        <v/>
      </c>
      <c r="M405" t="str">
        <f t="shared" si="48"/>
        <v/>
      </c>
      <c r="N405" s="21"/>
      <c r="O405" s="26"/>
    </row>
    <row r="406" spans="1:15" ht="17.25" customHeight="1">
      <c r="A406" s="22"/>
      <c r="B406" s="27"/>
      <c r="C406" s="22"/>
      <c r="D406" s="19"/>
      <c r="F406" s="5"/>
      <c r="G406" s="20"/>
      <c r="H406" s="5"/>
      <c r="J406" s="5" t="str">
        <f>IF(A406&lt;&gt;"",VLOOKUP(A406,Setting!A$11:B$50,2,FALSE),"")</f>
        <v/>
      </c>
      <c r="K406" s="20"/>
      <c r="L406" s="5" t="str">
        <f t="shared" si="47"/>
        <v/>
      </c>
      <c r="M406" t="str">
        <f t="shared" si="48"/>
        <v/>
      </c>
      <c r="N406" s="21"/>
      <c r="O406" s="26"/>
    </row>
    <row r="407" spans="1:15" ht="17.25" customHeight="1">
      <c r="A407" s="22"/>
      <c r="B407" s="27"/>
      <c r="C407" s="22"/>
      <c r="D407" s="19"/>
      <c r="F407" s="5"/>
      <c r="G407" s="20"/>
      <c r="H407" s="5"/>
      <c r="J407" s="5" t="str">
        <f>IF(A407&lt;&gt;"",VLOOKUP(A407,Setting!A$11:B$50,2,FALSE),"")</f>
        <v/>
      </c>
      <c r="K407" s="20"/>
      <c r="L407" s="5" t="str">
        <f t="shared" si="47"/>
        <v/>
      </c>
      <c r="M407" t="str">
        <f t="shared" si="48"/>
        <v/>
      </c>
      <c r="N407" s="21"/>
      <c r="O407" s="26"/>
    </row>
    <row r="408" spans="1:15" ht="17.25" customHeight="1">
      <c r="A408" s="22"/>
      <c r="B408" s="27"/>
      <c r="C408" s="22"/>
      <c r="D408" s="19"/>
      <c r="F408" s="5"/>
      <c r="G408" s="20"/>
      <c r="H408" s="5"/>
      <c r="J408" s="5" t="str">
        <f>IF(A408&lt;&gt;"",VLOOKUP(A408,Setting!A$11:B$50,2,FALSE),"")</f>
        <v/>
      </c>
      <c r="K408" s="20"/>
      <c r="L408" s="5" t="str">
        <f t="shared" si="47"/>
        <v/>
      </c>
      <c r="M408" t="str">
        <f t="shared" si="48"/>
        <v/>
      </c>
      <c r="N408" s="21"/>
      <c r="O408" s="26"/>
    </row>
    <row r="409" spans="1:15" ht="17.25" customHeight="1">
      <c r="A409" s="22"/>
      <c r="B409" s="27"/>
      <c r="C409" s="22"/>
      <c r="D409" s="19"/>
      <c r="F409" s="5"/>
      <c r="G409" s="20"/>
      <c r="H409" s="5"/>
      <c r="J409" s="5" t="str">
        <f>IF(A409&lt;&gt;"",VLOOKUP(A409,Setting!A$11:B$50,2,FALSE),"")</f>
        <v/>
      </c>
      <c r="K409" s="20"/>
      <c r="L409" s="5" t="str">
        <f t="shared" ref="L409:L472" si="49">IF(D409&lt;&gt;"",TEXT(D409,"0.0%"),"")</f>
        <v/>
      </c>
      <c r="M409" t="str">
        <f t="shared" ref="M409:M472" si="50">IF(J409&lt;&gt;"",IF(ISERROR(K409)=FALSE,J409&amp;":"&amp;K409&amp;" ("&amp;L409&amp;")","Error"),"")</f>
        <v/>
      </c>
      <c r="N409" s="21"/>
      <c r="O409" s="26"/>
    </row>
    <row r="410" spans="1:15" ht="17.25" customHeight="1">
      <c r="A410" s="22"/>
      <c r="B410" s="27"/>
      <c r="C410" s="22"/>
      <c r="D410" s="19"/>
      <c r="F410" s="5"/>
      <c r="G410" s="20"/>
      <c r="H410" s="5"/>
      <c r="J410" s="5" t="str">
        <f>IF(A410&lt;&gt;"",VLOOKUP(A410,Setting!A$11:B$50,2,FALSE),"")</f>
        <v/>
      </c>
      <c r="K410" s="20"/>
      <c r="L410" s="5" t="str">
        <f t="shared" si="49"/>
        <v/>
      </c>
      <c r="M410" t="str">
        <f t="shared" si="50"/>
        <v/>
      </c>
      <c r="N410" s="21"/>
      <c r="O410" s="26"/>
    </row>
    <row r="411" spans="1:15" ht="17.25" customHeight="1">
      <c r="A411" s="22"/>
      <c r="B411" s="27"/>
      <c r="C411" s="22"/>
      <c r="D411" s="19"/>
      <c r="F411" s="5"/>
      <c r="G411" s="20"/>
      <c r="H411" s="5"/>
      <c r="J411" s="5" t="str">
        <f>IF(A411&lt;&gt;"",VLOOKUP(A411,Setting!A$11:B$50,2,FALSE),"")</f>
        <v/>
      </c>
      <c r="K411" s="20"/>
      <c r="L411" s="5" t="str">
        <f t="shared" si="49"/>
        <v/>
      </c>
      <c r="M411" t="str">
        <f t="shared" si="50"/>
        <v/>
      </c>
      <c r="N411" s="21"/>
      <c r="O411" s="26"/>
    </row>
    <row r="412" spans="1:15" ht="17.25" customHeight="1">
      <c r="A412" s="22"/>
      <c r="B412" s="27"/>
      <c r="C412" s="22"/>
      <c r="D412" s="19"/>
      <c r="F412" s="5"/>
      <c r="G412" s="20"/>
      <c r="H412" s="5"/>
      <c r="J412" s="5" t="str">
        <f>IF(A412&lt;&gt;"",VLOOKUP(A412,Setting!A$11:B$50,2,FALSE),"")</f>
        <v/>
      </c>
      <c r="K412" s="20"/>
      <c r="L412" s="5" t="str">
        <f t="shared" si="49"/>
        <v/>
      </c>
      <c r="M412" t="str">
        <f t="shared" si="50"/>
        <v/>
      </c>
      <c r="N412" s="21"/>
      <c r="O412" s="26"/>
    </row>
    <row r="413" spans="1:15" ht="17.25" customHeight="1">
      <c r="A413" s="22"/>
      <c r="B413" s="27"/>
      <c r="C413" s="22"/>
      <c r="D413" s="19"/>
      <c r="F413" s="5"/>
      <c r="G413" s="20"/>
      <c r="H413" s="5"/>
      <c r="J413" s="5" t="str">
        <f>IF(A413&lt;&gt;"",VLOOKUP(A413,Setting!A$11:B$50,2,FALSE),"")</f>
        <v/>
      </c>
      <c r="K413" s="20"/>
      <c r="L413" s="5" t="str">
        <f t="shared" si="49"/>
        <v/>
      </c>
      <c r="M413" t="str">
        <f t="shared" si="50"/>
        <v/>
      </c>
      <c r="N413" s="21"/>
      <c r="O413" s="26"/>
    </row>
    <row r="414" spans="1:15" ht="17.25" customHeight="1">
      <c r="A414" s="22"/>
      <c r="B414" s="27"/>
      <c r="C414" s="22"/>
      <c r="D414" s="19"/>
      <c r="F414" s="5"/>
      <c r="G414" s="20"/>
      <c r="H414" s="5"/>
      <c r="J414" s="5" t="str">
        <f>IF(A414&lt;&gt;"",VLOOKUP(A414,Setting!A$11:B$50,2,FALSE),"")</f>
        <v/>
      </c>
      <c r="K414" s="20"/>
      <c r="L414" s="5" t="str">
        <f t="shared" si="49"/>
        <v/>
      </c>
      <c r="M414" t="str">
        <f t="shared" si="50"/>
        <v/>
      </c>
      <c r="N414" s="21"/>
      <c r="O414" s="26"/>
    </row>
    <row r="415" spans="1:15" ht="17.25" customHeight="1">
      <c r="A415" s="22"/>
      <c r="B415" s="27"/>
      <c r="C415" s="22"/>
      <c r="D415" s="19"/>
      <c r="F415" s="5"/>
      <c r="G415" s="20"/>
      <c r="H415" s="5"/>
      <c r="J415" s="5" t="str">
        <f>IF(A415&lt;&gt;"",VLOOKUP(A415,Setting!A$11:B$50,2,FALSE),"")</f>
        <v/>
      </c>
      <c r="K415" s="20"/>
      <c r="L415" s="5" t="str">
        <f t="shared" si="49"/>
        <v/>
      </c>
      <c r="M415" t="str">
        <f t="shared" si="50"/>
        <v/>
      </c>
      <c r="N415" s="21"/>
      <c r="O415" s="26"/>
    </row>
    <row r="416" spans="1:15" ht="17.25" customHeight="1">
      <c r="A416" s="22"/>
      <c r="B416" s="27"/>
      <c r="C416" s="22"/>
      <c r="D416" s="19"/>
      <c r="F416" s="5"/>
      <c r="G416" s="20"/>
      <c r="H416" s="5"/>
      <c r="J416" s="5" t="str">
        <f>IF(A416&lt;&gt;"",VLOOKUP(A416,Setting!A$11:B$50,2,FALSE),"")</f>
        <v/>
      </c>
      <c r="K416" s="20"/>
      <c r="L416" s="5" t="str">
        <f t="shared" si="49"/>
        <v/>
      </c>
      <c r="M416" t="str">
        <f t="shared" si="50"/>
        <v/>
      </c>
      <c r="N416" s="21"/>
      <c r="O416" s="26"/>
    </row>
    <row r="417" spans="1:15" ht="17.25" customHeight="1">
      <c r="A417" s="22"/>
      <c r="B417" s="27"/>
      <c r="C417" s="22"/>
      <c r="D417" s="19"/>
      <c r="F417" s="5"/>
      <c r="G417" s="20"/>
      <c r="H417" s="5"/>
      <c r="J417" s="5" t="str">
        <f>IF(A417&lt;&gt;"",VLOOKUP(A417,Setting!A$11:B$50,2,FALSE),"")</f>
        <v/>
      </c>
      <c r="K417" s="20"/>
      <c r="L417" s="5" t="str">
        <f t="shared" si="49"/>
        <v/>
      </c>
      <c r="M417" t="str">
        <f t="shared" si="50"/>
        <v/>
      </c>
      <c r="N417" s="21"/>
      <c r="O417" s="26"/>
    </row>
    <row r="418" spans="1:15" ht="17.25" customHeight="1">
      <c r="A418" s="22"/>
      <c r="B418" s="27"/>
      <c r="C418" s="22"/>
      <c r="D418" s="19"/>
      <c r="F418" s="5"/>
      <c r="G418" s="20"/>
      <c r="H418" s="5"/>
      <c r="J418" s="5" t="str">
        <f>IF(A418&lt;&gt;"",VLOOKUP(A418,Setting!A$11:B$50,2,FALSE),"")</f>
        <v/>
      </c>
      <c r="K418" s="20"/>
      <c r="L418" s="5" t="str">
        <f t="shared" si="49"/>
        <v/>
      </c>
      <c r="M418" t="str">
        <f t="shared" si="50"/>
        <v/>
      </c>
      <c r="N418" s="21"/>
      <c r="O418" s="26"/>
    </row>
    <row r="419" spans="1:15" ht="17.25" customHeight="1">
      <c r="A419" s="22"/>
      <c r="B419" s="27"/>
      <c r="C419" s="22"/>
      <c r="D419" s="19"/>
      <c r="F419" s="5"/>
      <c r="G419" s="20"/>
      <c r="H419" s="5"/>
      <c r="J419" s="5" t="str">
        <f>IF(A419&lt;&gt;"",VLOOKUP(A419,Setting!A$11:B$50,2,FALSE),"")</f>
        <v/>
      </c>
      <c r="K419" s="20"/>
      <c r="L419" s="5" t="str">
        <f t="shared" si="49"/>
        <v/>
      </c>
      <c r="M419" t="str">
        <f t="shared" si="50"/>
        <v/>
      </c>
      <c r="N419" s="21"/>
      <c r="O419" s="26"/>
    </row>
    <row r="420" spans="1:15" ht="17.25" customHeight="1">
      <c r="A420" s="22"/>
      <c r="B420" s="27"/>
      <c r="C420" s="22"/>
      <c r="D420" s="19"/>
      <c r="F420" s="5"/>
      <c r="G420" s="20"/>
      <c r="H420" s="5"/>
      <c r="J420" s="5" t="str">
        <f>IF(A420&lt;&gt;"",VLOOKUP(A420,Setting!A$11:B$50,2,FALSE),"")</f>
        <v/>
      </c>
      <c r="K420" s="20"/>
      <c r="L420" s="5" t="str">
        <f t="shared" si="49"/>
        <v/>
      </c>
      <c r="M420" t="str">
        <f t="shared" si="50"/>
        <v/>
      </c>
      <c r="N420" s="21"/>
      <c r="O420" s="26"/>
    </row>
    <row r="421" spans="1:15" ht="17.25" customHeight="1">
      <c r="A421" s="22"/>
      <c r="B421" s="27"/>
      <c r="C421" s="22"/>
      <c r="D421" s="19"/>
      <c r="F421" s="5"/>
      <c r="G421" s="20"/>
      <c r="H421" s="5"/>
      <c r="J421" s="5" t="str">
        <f>IF(A421&lt;&gt;"",VLOOKUP(A421,Setting!A$11:B$50,2,FALSE),"")</f>
        <v/>
      </c>
      <c r="K421" s="20"/>
      <c r="L421" s="5" t="str">
        <f t="shared" si="49"/>
        <v/>
      </c>
      <c r="M421" t="str">
        <f t="shared" si="50"/>
        <v/>
      </c>
      <c r="N421" s="21"/>
      <c r="O421" s="26"/>
    </row>
    <row r="422" spans="1:15" ht="17.25" customHeight="1">
      <c r="A422" s="22"/>
      <c r="B422" s="27"/>
      <c r="C422" s="22"/>
      <c r="D422" s="19"/>
      <c r="F422" s="5"/>
      <c r="G422" s="20"/>
      <c r="H422" s="5"/>
      <c r="J422" s="5" t="str">
        <f>IF(A422&lt;&gt;"",VLOOKUP(A422,Setting!A$11:B$50,2,FALSE),"")</f>
        <v/>
      </c>
      <c r="K422" s="20"/>
      <c r="L422" s="5" t="str">
        <f t="shared" si="49"/>
        <v/>
      </c>
      <c r="M422" t="str">
        <f t="shared" si="50"/>
        <v/>
      </c>
      <c r="N422" s="21"/>
      <c r="O422" s="26"/>
    </row>
    <row r="423" spans="1:15" ht="17.25" customHeight="1">
      <c r="A423" s="22"/>
      <c r="B423" s="27"/>
      <c r="C423" s="22"/>
      <c r="D423" s="19"/>
      <c r="F423" s="5"/>
      <c r="G423" s="20"/>
      <c r="H423" s="5"/>
      <c r="J423" s="5" t="str">
        <f>IF(A423&lt;&gt;"",VLOOKUP(A423,Setting!A$11:B$50,2,FALSE),"")</f>
        <v/>
      </c>
      <c r="K423" s="20"/>
      <c r="L423" s="5" t="str">
        <f t="shared" si="49"/>
        <v/>
      </c>
      <c r="M423" t="str">
        <f t="shared" si="50"/>
        <v/>
      </c>
      <c r="N423" s="21"/>
      <c r="O423" s="26"/>
    </row>
    <row r="424" spans="1:15" ht="17.25" customHeight="1">
      <c r="A424" s="22"/>
      <c r="B424" s="27"/>
      <c r="C424" s="22"/>
      <c r="D424" s="19"/>
      <c r="F424" s="5"/>
      <c r="G424" s="20"/>
      <c r="H424" s="5"/>
      <c r="J424" s="5" t="str">
        <f>IF(A424&lt;&gt;"",VLOOKUP(A424,Setting!A$11:B$50,2,FALSE),"")</f>
        <v/>
      </c>
      <c r="K424" s="20"/>
      <c r="L424" s="5" t="str">
        <f t="shared" si="49"/>
        <v/>
      </c>
      <c r="M424" t="str">
        <f t="shared" si="50"/>
        <v/>
      </c>
      <c r="N424" s="21"/>
      <c r="O424" s="26"/>
    </row>
    <row r="425" spans="1:15" ht="17.25" customHeight="1">
      <c r="A425" s="22"/>
      <c r="B425" s="27"/>
      <c r="C425" s="22"/>
      <c r="D425" s="19"/>
      <c r="F425" s="5"/>
      <c r="G425" s="20"/>
      <c r="H425" s="5"/>
      <c r="J425" s="5" t="str">
        <f>IF(A425&lt;&gt;"",VLOOKUP(A425,Setting!A$11:B$50,2,FALSE),"")</f>
        <v/>
      </c>
      <c r="K425" s="20"/>
      <c r="L425" s="5" t="str">
        <f t="shared" si="49"/>
        <v/>
      </c>
      <c r="M425" t="str">
        <f t="shared" si="50"/>
        <v/>
      </c>
      <c r="N425" s="21"/>
      <c r="O425" s="26"/>
    </row>
    <row r="426" spans="1:15" ht="17.25" customHeight="1">
      <c r="A426" s="22"/>
      <c r="B426" s="27"/>
      <c r="C426" s="22"/>
      <c r="D426" s="19"/>
      <c r="F426" s="5"/>
      <c r="G426" s="20"/>
      <c r="H426" s="5"/>
      <c r="J426" s="5" t="str">
        <f>IF(A426&lt;&gt;"",VLOOKUP(A426,Setting!A$11:B$50,2,FALSE),"")</f>
        <v/>
      </c>
      <c r="K426" s="20"/>
      <c r="L426" s="5" t="str">
        <f t="shared" si="49"/>
        <v/>
      </c>
      <c r="M426" t="str">
        <f t="shared" si="50"/>
        <v/>
      </c>
      <c r="N426" s="21"/>
      <c r="O426" s="26"/>
    </row>
    <row r="427" spans="1:15" ht="17.25" customHeight="1">
      <c r="A427" s="22"/>
      <c r="B427" s="27"/>
      <c r="C427" s="22"/>
      <c r="D427" s="19"/>
      <c r="F427" s="5"/>
      <c r="G427" s="20"/>
      <c r="H427" s="5"/>
      <c r="J427" s="5" t="str">
        <f>IF(A427&lt;&gt;"",VLOOKUP(A427,Setting!A$11:B$50,2,FALSE),"")</f>
        <v/>
      </c>
      <c r="K427" s="20"/>
      <c r="L427" s="5" t="str">
        <f t="shared" si="49"/>
        <v/>
      </c>
      <c r="M427" t="str">
        <f t="shared" si="50"/>
        <v/>
      </c>
      <c r="N427" s="21"/>
      <c r="O427" s="26"/>
    </row>
    <row r="428" spans="1:15" ht="17.25" customHeight="1">
      <c r="A428" s="22"/>
      <c r="B428" s="27"/>
      <c r="C428" s="22"/>
      <c r="D428" s="19"/>
      <c r="F428" s="5"/>
      <c r="G428" s="20"/>
      <c r="H428" s="5"/>
      <c r="J428" s="5" t="str">
        <f>IF(A428&lt;&gt;"",VLOOKUP(A428,Setting!A$11:B$50,2,FALSE),"")</f>
        <v/>
      </c>
      <c r="K428" s="20"/>
      <c r="L428" s="5" t="str">
        <f t="shared" si="49"/>
        <v/>
      </c>
      <c r="M428" t="str">
        <f t="shared" si="50"/>
        <v/>
      </c>
      <c r="N428" s="21"/>
      <c r="O428" s="26"/>
    </row>
    <row r="429" spans="1:15" ht="17.25" customHeight="1">
      <c r="A429" s="22"/>
      <c r="B429" s="27"/>
      <c r="C429" s="22"/>
      <c r="D429" s="19"/>
      <c r="F429" s="5"/>
      <c r="G429" s="20"/>
      <c r="H429" s="5"/>
      <c r="J429" s="5" t="str">
        <f>IF(A429&lt;&gt;"",VLOOKUP(A429,Setting!A$11:B$50,2,FALSE),"")</f>
        <v/>
      </c>
      <c r="K429" s="20"/>
      <c r="L429" s="5" t="str">
        <f t="shared" si="49"/>
        <v/>
      </c>
      <c r="M429" t="str">
        <f t="shared" si="50"/>
        <v/>
      </c>
      <c r="N429" s="21"/>
      <c r="O429" s="26"/>
    </row>
    <row r="430" spans="1:15" ht="17.25" customHeight="1">
      <c r="A430" s="22"/>
      <c r="B430" s="27"/>
      <c r="C430" s="22"/>
      <c r="D430" s="19"/>
      <c r="F430" s="5"/>
      <c r="G430" s="20"/>
      <c r="H430" s="5"/>
      <c r="J430" s="5" t="str">
        <f>IF(A430&lt;&gt;"",VLOOKUP(A430,Setting!A$11:B$50,2,FALSE),"")</f>
        <v/>
      </c>
      <c r="K430" s="20"/>
      <c r="L430" s="5" t="str">
        <f t="shared" si="49"/>
        <v/>
      </c>
      <c r="M430" t="str">
        <f t="shared" si="50"/>
        <v/>
      </c>
      <c r="N430" s="21"/>
      <c r="O430" s="26"/>
    </row>
    <row r="431" spans="1:15" ht="17.25" customHeight="1">
      <c r="A431" s="22"/>
      <c r="B431" s="27"/>
      <c r="C431" s="22"/>
      <c r="D431" s="19"/>
      <c r="F431" s="5"/>
      <c r="G431" s="20"/>
      <c r="H431" s="5"/>
      <c r="J431" s="5" t="str">
        <f>IF(A431&lt;&gt;"",VLOOKUP(A431,Setting!A$11:B$50,2,FALSE),"")</f>
        <v/>
      </c>
      <c r="K431" s="20"/>
      <c r="L431" s="5" t="str">
        <f t="shared" si="49"/>
        <v/>
      </c>
      <c r="M431" t="str">
        <f t="shared" si="50"/>
        <v/>
      </c>
      <c r="N431" s="21"/>
      <c r="O431" s="26"/>
    </row>
    <row r="432" spans="1:15" ht="17.25" customHeight="1">
      <c r="A432" s="22"/>
      <c r="B432" s="27"/>
      <c r="C432" s="22"/>
      <c r="D432" s="19"/>
      <c r="F432" s="5"/>
      <c r="G432" s="20"/>
      <c r="H432" s="5"/>
      <c r="J432" s="5" t="str">
        <f>IF(A432&lt;&gt;"",VLOOKUP(A432,Setting!A$11:B$50,2,FALSE),"")</f>
        <v/>
      </c>
      <c r="K432" s="20"/>
      <c r="L432" s="5" t="str">
        <f t="shared" si="49"/>
        <v/>
      </c>
      <c r="M432" t="str">
        <f t="shared" si="50"/>
        <v/>
      </c>
      <c r="N432" s="21"/>
      <c r="O432" s="26"/>
    </row>
    <row r="433" spans="1:15" ht="17.25" customHeight="1">
      <c r="A433" s="22"/>
      <c r="B433" s="27"/>
      <c r="C433" s="22"/>
      <c r="D433" s="19"/>
      <c r="F433" s="5"/>
      <c r="G433" s="20"/>
      <c r="H433" s="5"/>
      <c r="J433" s="5" t="str">
        <f>IF(A433&lt;&gt;"",VLOOKUP(A433,Setting!A$11:B$50,2,FALSE),"")</f>
        <v/>
      </c>
      <c r="K433" s="20"/>
      <c r="L433" s="5" t="str">
        <f t="shared" si="49"/>
        <v/>
      </c>
      <c r="M433" t="str">
        <f t="shared" si="50"/>
        <v/>
      </c>
      <c r="N433" s="21"/>
      <c r="O433" s="26"/>
    </row>
    <row r="434" spans="1:15" ht="17.25" customHeight="1">
      <c r="A434" s="22"/>
      <c r="B434" s="27"/>
      <c r="C434" s="22"/>
      <c r="D434" s="19"/>
      <c r="F434" s="5"/>
      <c r="G434" s="20"/>
      <c r="H434" s="5"/>
      <c r="J434" s="5" t="str">
        <f>IF(A434&lt;&gt;"",VLOOKUP(A434,Setting!A$11:B$50,2,FALSE),"")</f>
        <v/>
      </c>
      <c r="K434" s="20"/>
      <c r="L434" s="5" t="str">
        <f t="shared" si="49"/>
        <v/>
      </c>
      <c r="M434" t="str">
        <f t="shared" si="50"/>
        <v/>
      </c>
      <c r="N434" s="21"/>
      <c r="O434" s="26"/>
    </row>
    <row r="435" spans="1:15" ht="17.25" customHeight="1">
      <c r="A435" s="22"/>
      <c r="B435" s="27"/>
      <c r="D435" s="19"/>
      <c r="F435" s="5"/>
      <c r="G435" s="20"/>
      <c r="H435" s="5"/>
      <c r="J435" s="5" t="str">
        <f>IF(A435&lt;&gt;"",VLOOKUP(A435,Setting!A$11:B$50,2,FALSE),"")</f>
        <v/>
      </c>
      <c r="K435" s="20"/>
      <c r="L435" s="5" t="str">
        <f t="shared" si="49"/>
        <v/>
      </c>
      <c r="M435" t="str">
        <f t="shared" si="50"/>
        <v/>
      </c>
      <c r="O435" s="25"/>
    </row>
    <row r="436" spans="1:15" ht="17.25" customHeight="1">
      <c r="A436" s="22"/>
      <c r="B436" s="27"/>
      <c r="D436" s="19"/>
      <c r="F436" s="5"/>
      <c r="G436" s="20"/>
      <c r="H436" s="5"/>
      <c r="J436" s="5" t="str">
        <f>IF(A436&lt;&gt;"",VLOOKUP(A436,Setting!A$11:B$50,2,FALSE),"")</f>
        <v/>
      </c>
      <c r="K436" s="20"/>
      <c r="L436" s="5" t="str">
        <f t="shared" si="49"/>
        <v/>
      </c>
      <c r="M436" t="str">
        <f t="shared" si="50"/>
        <v/>
      </c>
      <c r="O436" s="25"/>
    </row>
    <row r="437" spans="1:15" ht="17.25" customHeight="1">
      <c r="A437" s="22"/>
      <c r="B437" s="27"/>
      <c r="D437" s="19"/>
      <c r="F437" s="5"/>
      <c r="G437" s="20"/>
      <c r="H437" s="5"/>
      <c r="J437" s="5" t="str">
        <f>IF(A437&lt;&gt;"",VLOOKUP(A437,Setting!A$11:B$50,2,FALSE),"")</f>
        <v/>
      </c>
      <c r="K437" s="20"/>
      <c r="L437" s="5" t="str">
        <f t="shared" si="49"/>
        <v/>
      </c>
      <c r="M437" t="str">
        <f t="shared" si="50"/>
        <v/>
      </c>
      <c r="O437" s="25"/>
    </row>
    <row r="438" spans="1:15" ht="17.25" customHeight="1">
      <c r="A438" s="22"/>
      <c r="B438" s="27"/>
      <c r="D438" s="19"/>
      <c r="F438" s="5"/>
      <c r="G438" s="20"/>
      <c r="H438" s="5"/>
      <c r="J438" s="5" t="str">
        <f>IF(A438&lt;&gt;"",VLOOKUP(A438,Setting!A$11:B$50,2,FALSE),"")</f>
        <v/>
      </c>
      <c r="K438" s="20"/>
      <c r="L438" s="5" t="str">
        <f t="shared" si="49"/>
        <v/>
      </c>
      <c r="M438" t="str">
        <f t="shared" si="50"/>
        <v/>
      </c>
      <c r="O438" s="25"/>
    </row>
    <row r="439" spans="1:15" ht="17.25" customHeight="1">
      <c r="A439" s="22"/>
      <c r="B439" s="27"/>
      <c r="D439" s="19"/>
      <c r="F439" s="5"/>
      <c r="G439" s="20"/>
      <c r="H439" s="5"/>
      <c r="J439" s="5" t="str">
        <f>IF(A439&lt;&gt;"",VLOOKUP(A439,Setting!A$11:B$50,2,FALSE),"")</f>
        <v/>
      </c>
      <c r="K439" s="20"/>
      <c r="L439" s="5" t="str">
        <f t="shared" si="49"/>
        <v/>
      </c>
      <c r="M439" t="str">
        <f t="shared" si="50"/>
        <v/>
      </c>
      <c r="O439" s="25"/>
    </row>
    <row r="440" spans="1:15" ht="17.25" customHeight="1">
      <c r="A440" s="22"/>
      <c r="B440" s="27"/>
      <c r="D440" s="19"/>
      <c r="F440" s="5"/>
      <c r="G440" s="20"/>
      <c r="H440" s="5"/>
      <c r="J440" s="5" t="str">
        <f>IF(A440&lt;&gt;"",VLOOKUP(A440,Setting!A$11:B$50,2,FALSE),"")</f>
        <v/>
      </c>
      <c r="K440" s="20"/>
      <c r="L440" s="5" t="str">
        <f t="shared" si="49"/>
        <v/>
      </c>
      <c r="M440" t="str">
        <f t="shared" si="50"/>
        <v/>
      </c>
      <c r="O440" s="25"/>
    </row>
    <row r="441" spans="1:15" ht="17.25" customHeight="1">
      <c r="A441" s="22"/>
      <c r="B441" s="27"/>
      <c r="D441" s="19"/>
      <c r="F441" s="5"/>
      <c r="G441" s="20"/>
      <c r="H441" s="5"/>
      <c r="J441" s="5" t="str">
        <f>IF(A441&lt;&gt;"",VLOOKUP(A441,Setting!A$11:B$50,2,FALSE),"")</f>
        <v/>
      </c>
      <c r="K441" s="20"/>
      <c r="L441" s="5" t="str">
        <f t="shared" si="49"/>
        <v/>
      </c>
      <c r="M441" t="str">
        <f t="shared" si="50"/>
        <v/>
      </c>
      <c r="O441" s="25"/>
    </row>
    <row r="442" spans="1:15" ht="17.25" customHeight="1">
      <c r="A442" s="22"/>
      <c r="B442" s="27"/>
      <c r="D442" s="19"/>
      <c r="F442" s="5"/>
      <c r="G442" s="20"/>
      <c r="H442" s="5"/>
      <c r="J442" s="5" t="str">
        <f>IF(A442&lt;&gt;"",VLOOKUP(A442,Setting!A$11:B$50,2,FALSE),"")</f>
        <v/>
      </c>
      <c r="K442" s="20"/>
      <c r="L442" s="5" t="str">
        <f t="shared" si="49"/>
        <v/>
      </c>
      <c r="M442" t="str">
        <f t="shared" si="50"/>
        <v/>
      </c>
      <c r="O442" s="25"/>
    </row>
    <row r="443" spans="1:15" ht="17.25" customHeight="1">
      <c r="A443" s="22"/>
      <c r="B443" s="27"/>
      <c r="D443" s="19"/>
      <c r="F443" s="5"/>
      <c r="G443" s="20"/>
      <c r="H443" s="5"/>
      <c r="J443" s="5" t="str">
        <f>IF(A443&lt;&gt;"",VLOOKUP(A443,Setting!A$11:B$50,2,FALSE),"")</f>
        <v/>
      </c>
      <c r="K443" s="20"/>
      <c r="L443" s="5" t="str">
        <f t="shared" si="49"/>
        <v/>
      </c>
      <c r="M443" t="str">
        <f t="shared" si="50"/>
        <v/>
      </c>
      <c r="O443" s="25"/>
    </row>
    <row r="444" spans="1:15" ht="17.25" customHeight="1">
      <c r="A444" s="22"/>
      <c r="B444" s="27"/>
      <c r="D444" s="19"/>
      <c r="F444" s="5"/>
      <c r="G444" s="20"/>
      <c r="H444" s="5"/>
      <c r="J444" s="5" t="str">
        <f>IF(A444&lt;&gt;"",VLOOKUP(A444,Setting!A$11:B$50,2,FALSE),"")</f>
        <v/>
      </c>
      <c r="K444" s="20"/>
      <c r="L444" s="5" t="str">
        <f t="shared" si="49"/>
        <v/>
      </c>
      <c r="M444" t="str">
        <f t="shared" si="50"/>
        <v/>
      </c>
      <c r="O444" s="25"/>
    </row>
    <row r="445" spans="1:15" ht="17.25" customHeight="1">
      <c r="A445" s="22"/>
      <c r="B445" s="27"/>
      <c r="D445" s="19"/>
      <c r="F445" s="5"/>
      <c r="G445" s="20"/>
      <c r="H445" s="5"/>
      <c r="J445" s="5" t="str">
        <f>IF(A445&lt;&gt;"",VLOOKUP(A445,Setting!A$11:B$50,2,FALSE),"")</f>
        <v/>
      </c>
      <c r="K445" s="20"/>
      <c r="L445" s="5" t="str">
        <f t="shared" si="49"/>
        <v/>
      </c>
      <c r="M445" t="str">
        <f t="shared" si="50"/>
        <v/>
      </c>
      <c r="O445" s="25"/>
    </row>
    <row r="446" spans="1:15" ht="17.25" customHeight="1">
      <c r="A446" s="22"/>
      <c r="B446" s="27"/>
      <c r="D446" s="19"/>
      <c r="F446" s="5"/>
      <c r="G446" s="20"/>
      <c r="H446" s="5"/>
      <c r="J446" s="5" t="str">
        <f>IF(A446&lt;&gt;"",VLOOKUP(A446,Setting!A$11:B$50,2,FALSE),"")</f>
        <v/>
      </c>
      <c r="K446" s="20"/>
      <c r="L446" s="5" t="str">
        <f t="shared" si="49"/>
        <v/>
      </c>
      <c r="M446" t="str">
        <f t="shared" si="50"/>
        <v/>
      </c>
      <c r="O446" s="25"/>
    </row>
    <row r="447" spans="1:15" ht="17.25" customHeight="1">
      <c r="A447" s="22"/>
      <c r="B447" s="27"/>
      <c r="D447" s="19"/>
      <c r="F447" s="5"/>
      <c r="G447" s="20"/>
      <c r="H447" s="5"/>
      <c r="J447" s="5" t="str">
        <f>IF(A447&lt;&gt;"",VLOOKUP(A447,Setting!A$11:B$50,2,FALSE),"")</f>
        <v/>
      </c>
      <c r="K447" s="20"/>
      <c r="L447" s="5" t="str">
        <f t="shared" si="49"/>
        <v/>
      </c>
      <c r="M447" t="str">
        <f t="shared" si="50"/>
        <v/>
      </c>
      <c r="O447" s="25"/>
    </row>
    <row r="448" spans="1:15" ht="17.25" customHeight="1">
      <c r="A448" s="22"/>
      <c r="B448" s="27"/>
      <c r="D448" s="19"/>
      <c r="F448" s="5"/>
      <c r="G448" s="20"/>
      <c r="H448" s="5"/>
      <c r="J448" s="5" t="str">
        <f>IF(A448&lt;&gt;"",VLOOKUP(A448,Setting!A$11:B$50,2,FALSE),"")</f>
        <v/>
      </c>
      <c r="K448" s="20"/>
      <c r="L448" s="5" t="str">
        <f t="shared" si="49"/>
        <v/>
      </c>
      <c r="M448" t="str">
        <f t="shared" si="50"/>
        <v/>
      </c>
      <c r="O448" s="25"/>
    </row>
    <row r="449" spans="1:15" ht="17.25" customHeight="1">
      <c r="A449" s="22"/>
      <c r="B449" s="27"/>
      <c r="D449" s="19"/>
      <c r="F449" s="5"/>
      <c r="G449" s="20"/>
      <c r="H449" s="5"/>
      <c r="J449" s="5" t="str">
        <f>IF(A449&lt;&gt;"",VLOOKUP(A449,Setting!A$11:B$50,2,FALSE),"")</f>
        <v/>
      </c>
      <c r="K449" s="20"/>
      <c r="L449" s="5" t="str">
        <f t="shared" si="49"/>
        <v/>
      </c>
      <c r="M449" t="str">
        <f t="shared" si="50"/>
        <v/>
      </c>
      <c r="O449" s="25"/>
    </row>
    <row r="450" spans="1:15" ht="17.25" customHeight="1">
      <c r="A450" s="22"/>
      <c r="B450" s="27"/>
      <c r="D450" s="19"/>
      <c r="F450" s="5"/>
      <c r="G450" s="20"/>
      <c r="H450" s="5"/>
      <c r="J450" s="5" t="str">
        <f>IF(A450&lt;&gt;"",VLOOKUP(A450,Setting!A$11:B$50,2,FALSE),"")</f>
        <v/>
      </c>
      <c r="K450" s="20"/>
      <c r="L450" s="5" t="str">
        <f t="shared" si="49"/>
        <v/>
      </c>
      <c r="M450" t="str">
        <f t="shared" si="50"/>
        <v/>
      </c>
      <c r="O450" s="25"/>
    </row>
    <row r="451" spans="1:15" ht="17.25" customHeight="1">
      <c r="A451" s="22"/>
      <c r="B451" s="27"/>
      <c r="D451" s="19"/>
      <c r="F451" s="5"/>
      <c r="G451" s="20"/>
      <c r="H451" s="5"/>
      <c r="J451" s="5" t="str">
        <f>IF(A451&lt;&gt;"",VLOOKUP(A451,Setting!A$11:B$50,2,FALSE),"")</f>
        <v/>
      </c>
      <c r="K451" s="20"/>
      <c r="L451" s="5" t="str">
        <f t="shared" si="49"/>
        <v/>
      </c>
      <c r="M451" t="str">
        <f t="shared" si="50"/>
        <v/>
      </c>
      <c r="O451" s="25"/>
    </row>
    <row r="452" spans="1:15" ht="17.25" customHeight="1">
      <c r="A452" s="22"/>
      <c r="B452" s="27"/>
      <c r="D452" s="19"/>
      <c r="F452" s="5"/>
      <c r="G452" s="20"/>
      <c r="H452" s="5"/>
      <c r="J452" s="5" t="str">
        <f>IF(A452&lt;&gt;"",VLOOKUP(A452,Setting!A$11:B$50,2,FALSE),"")</f>
        <v/>
      </c>
      <c r="K452" s="20"/>
      <c r="L452" s="5" t="str">
        <f t="shared" si="49"/>
        <v/>
      </c>
      <c r="M452" t="str">
        <f t="shared" si="50"/>
        <v/>
      </c>
      <c r="O452" s="25"/>
    </row>
    <row r="453" spans="1:15" ht="17.25" customHeight="1">
      <c r="A453" s="22"/>
      <c r="B453" s="27"/>
      <c r="D453" s="19"/>
      <c r="F453" s="5"/>
      <c r="G453" s="20"/>
      <c r="H453" s="5"/>
      <c r="J453" s="5" t="str">
        <f>IF(A453&lt;&gt;"",VLOOKUP(A453,Setting!A$11:B$50,2,FALSE),"")</f>
        <v/>
      </c>
      <c r="K453" s="20"/>
      <c r="L453" s="5" t="str">
        <f t="shared" si="49"/>
        <v/>
      </c>
      <c r="M453" t="str">
        <f t="shared" si="50"/>
        <v/>
      </c>
      <c r="O453" s="25"/>
    </row>
    <row r="454" spans="1:15" ht="17.25" customHeight="1">
      <c r="A454" s="22"/>
      <c r="B454" s="27"/>
      <c r="D454" s="19"/>
      <c r="F454" s="5"/>
      <c r="G454" s="20"/>
      <c r="H454" s="5"/>
      <c r="J454" s="5" t="str">
        <f>IF(A454&lt;&gt;"",VLOOKUP(A454,Setting!A$11:B$50,2,FALSE),"")</f>
        <v/>
      </c>
      <c r="K454" s="20"/>
      <c r="L454" s="5" t="str">
        <f t="shared" si="49"/>
        <v/>
      </c>
      <c r="M454" t="str">
        <f t="shared" si="50"/>
        <v/>
      </c>
      <c r="O454" s="25"/>
    </row>
    <row r="455" spans="1:15" ht="17.25" customHeight="1">
      <c r="A455" s="22"/>
      <c r="B455" s="27"/>
      <c r="D455" s="19"/>
      <c r="F455" s="5"/>
      <c r="G455" s="20"/>
      <c r="H455" s="5"/>
      <c r="J455" s="5" t="str">
        <f>IF(A455&lt;&gt;"",VLOOKUP(A455,Setting!A$11:B$50,2,FALSE),"")</f>
        <v/>
      </c>
      <c r="K455" s="20"/>
      <c r="L455" s="5" t="str">
        <f t="shared" si="49"/>
        <v/>
      </c>
      <c r="M455" t="str">
        <f t="shared" si="50"/>
        <v/>
      </c>
      <c r="O455" s="25"/>
    </row>
    <row r="456" spans="1:15" ht="17.25" customHeight="1">
      <c r="A456" s="22"/>
      <c r="B456" s="27"/>
      <c r="D456" s="19"/>
      <c r="F456" s="5"/>
      <c r="G456" s="20"/>
      <c r="H456" s="5"/>
      <c r="J456" s="5" t="str">
        <f>IF(A456&lt;&gt;"",VLOOKUP(A456,Setting!A$11:B$50,2,FALSE),"")</f>
        <v/>
      </c>
      <c r="K456" s="20"/>
      <c r="L456" s="5" t="str">
        <f t="shared" si="49"/>
        <v/>
      </c>
      <c r="M456" t="str">
        <f t="shared" si="50"/>
        <v/>
      </c>
      <c r="O456" s="25"/>
    </row>
    <row r="457" spans="1:15" ht="17.25" customHeight="1">
      <c r="A457" s="22"/>
      <c r="B457" s="27"/>
      <c r="D457" s="19"/>
      <c r="F457" s="5"/>
      <c r="G457" s="20"/>
      <c r="H457" s="5"/>
      <c r="J457" s="5" t="str">
        <f>IF(A457&lt;&gt;"",VLOOKUP(A457,Setting!A$11:B$50,2,FALSE),"")</f>
        <v/>
      </c>
      <c r="K457" s="20"/>
      <c r="L457" s="5" t="str">
        <f t="shared" si="49"/>
        <v/>
      </c>
      <c r="M457" t="str">
        <f t="shared" si="50"/>
        <v/>
      </c>
      <c r="O457" s="25"/>
    </row>
    <row r="458" spans="1:15" ht="17.25" customHeight="1">
      <c r="A458" s="22"/>
      <c r="B458" s="27"/>
      <c r="D458" s="19"/>
      <c r="F458" s="5"/>
      <c r="G458" s="20"/>
      <c r="H458" s="5"/>
      <c r="J458" s="5" t="str">
        <f>IF(A458&lt;&gt;"",VLOOKUP(A458,Setting!A$11:B$50,2,FALSE),"")</f>
        <v/>
      </c>
      <c r="K458" s="20"/>
      <c r="L458" s="5" t="str">
        <f t="shared" si="49"/>
        <v/>
      </c>
      <c r="M458" t="str">
        <f t="shared" si="50"/>
        <v/>
      </c>
      <c r="O458" s="25"/>
    </row>
    <row r="459" spans="1:15" ht="17.25" customHeight="1">
      <c r="D459" s="19"/>
      <c r="F459" s="5"/>
      <c r="G459" s="20"/>
      <c r="H459" s="5"/>
      <c r="J459" s="5" t="str">
        <f>IF(A459&lt;&gt;"",VLOOKUP(A459,Setting!A$11:B$50,2,FALSE),"")</f>
        <v/>
      </c>
      <c r="K459" s="20"/>
      <c r="L459" s="5" t="str">
        <f t="shared" si="49"/>
        <v/>
      </c>
      <c r="M459" t="str">
        <f t="shared" si="50"/>
        <v/>
      </c>
      <c r="O459" s="25"/>
    </row>
    <row r="460" spans="1:15" ht="17.25" customHeight="1">
      <c r="D460" s="19"/>
      <c r="F460" s="5"/>
      <c r="G460" s="20"/>
      <c r="H460" s="5"/>
      <c r="J460" s="5" t="str">
        <f>IF(A460&lt;&gt;"",VLOOKUP(A460,Setting!A$11:B$50,2,FALSE),"")</f>
        <v/>
      </c>
      <c r="K460" s="20"/>
      <c r="L460" s="5" t="str">
        <f t="shared" si="49"/>
        <v/>
      </c>
      <c r="M460" t="str">
        <f t="shared" si="50"/>
        <v/>
      </c>
      <c r="O460" s="25"/>
    </row>
    <row r="461" spans="1:15" ht="17.25" customHeight="1">
      <c r="D461" s="19"/>
      <c r="F461" s="5"/>
      <c r="G461" s="20"/>
      <c r="H461" s="5"/>
      <c r="J461" s="5" t="str">
        <f>IF(A461&lt;&gt;"",VLOOKUP(A461,Setting!A$11:B$50,2,FALSE),"")</f>
        <v/>
      </c>
      <c r="K461" s="20"/>
      <c r="L461" s="5" t="str">
        <f t="shared" si="49"/>
        <v/>
      </c>
      <c r="M461" t="str">
        <f t="shared" si="50"/>
        <v/>
      </c>
      <c r="O461" s="25"/>
    </row>
    <row r="462" spans="1:15" ht="17.25" customHeight="1">
      <c r="D462" s="19"/>
      <c r="F462" s="5"/>
      <c r="G462" s="20"/>
      <c r="H462" s="5"/>
      <c r="J462" s="5" t="str">
        <f>IF(A462&lt;&gt;"",VLOOKUP(A462,Setting!A$11:B$50,2,FALSE),"")</f>
        <v/>
      </c>
      <c r="K462" s="20"/>
      <c r="L462" s="5" t="str">
        <f t="shared" si="49"/>
        <v/>
      </c>
      <c r="M462" t="str">
        <f t="shared" si="50"/>
        <v/>
      </c>
      <c r="O462" s="25"/>
    </row>
    <row r="463" spans="1:15" ht="17.25" customHeight="1">
      <c r="D463" s="19"/>
      <c r="F463" s="5"/>
      <c r="G463" s="20"/>
      <c r="H463" s="5"/>
      <c r="J463" s="5" t="str">
        <f>IF(A463&lt;&gt;"",VLOOKUP(A463,Setting!A$11:B$50,2,FALSE),"")</f>
        <v/>
      </c>
      <c r="K463" s="20"/>
      <c r="L463" s="5" t="str">
        <f t="shared" si="49"/>
        <v/>
      </c>
      <c r="M463" t="str">
        <f t="shared" si="50"/>
        <v/>
      </c>
      <c r="O463" s="25"/>
    </row>
    <row r="464" spans="1:15" ht="17.25" customHeight="1">
      <c r="D464" s="19"/>
      <c r="F464" s="5"/>
      <c r="G464" s="20"/>
      <c r="H464" s="5"/>
      <c r="J464" s="5" t="str">
        <f>IF(A464&lt;&gt;"",VLOOKUP(A464,Setting!A$11:B$50,2,FALSE),"")</f>
        <v/>
      </c>
      <c r="K464" s="20"/>
      <c r="L464" s="5" t="str">
        <f t="shared" si="49"/>
        <v/>
      </c>
      <c r="M464" t="str">
        <f t="shared" si="50"/>
        <v/>
      </c>
      <c r="O464" s="25"/>
    </row>
    <row r="465" spans="4:15" ht="17.25" customHeight="1">
      <c r="D465" s="19"/>
      <c r="F465" s="5"/>
      <c r="G465" s="20"/>
      <c r="H465" s="5"/>
      <c r="J465" s="5" t="str">
        <f>IF(A465&lt;&gt;"",VLOOKUP(A465,Setting!A$11:B$50,2,FALSE),"")</f>
        <v/>
      </c>
      <c r="K465" s="20"/>
      <c r="L465" s="5" t="str">
        <f t="shared" si="49"/>
        <v/>
      </c>
      <c r="M465" t="str">
        <f t="shared" si="50"/>
        <v/>
      </c>
      <c r="O465" s="25"/>
    </row>
    <row r="466" spans="4:15" ht="17.25" customHeight="1">
      <c r="D466" s="19"/>
      <c r="F466" s="5"/>
      <c r="G466" s="20"/>
      <c r="H466" s="5"/>
      <c r="J466" s="5" t="str">
        <f>IF(A466&lt;&gt;"",VLOOKUP(A466,Setting!A$11:B$50,2,FALSE),"")</f>
        <v/>
      </c>
      <c r="K466" s="20"/>
      <c r="L466" s="5" t="str">
        <f t="shared" si="49"/>
        <v/>
      </c>
      <c r="M466" t="str">
        <f t="shared" si="50"/>
        <v/>
      </c>
      <c r="O466" s="25"/>
    </row>
    <row r="467" spans="4:15" ht="17.25" customHeight="1">
      <c r="D467" s="19"/>
      <c r="F467" s="5"/>
      <c r="G467" s="20"/>
      <c r="H467" s="5"/>
      <c r="J467" s="5" t="str">
        <f>IF(A467&lt;&gt;"",VLOOKUP(A467,Setting!A$11:B$50,2,FALSE),"")</f>
        <v/>
      </c>
      <c r="K467" s="20"/>
      <c r="L467" s="5" t="str">
        <f t="shared" si="49"/>
        <v/>
      </c>
      <c r="M467" t="str">
        <f t="shared" si="50"/>
        <v/>
      </c>
      <c r="O467" s="25"/>
    </row>
    <row r="468" spans="4:15" ht="17.25" customHeight="1">
      <c r="D468" s="19"/>
      <c r="F468" s="5"/>
      <c r="G468" s="20"/>
      <c r="H468" s="5"/>
      <c r="J468" s="5" t="str">
        <f>IF(A468&lt;&gt;"",VLOOKUP(A468,Setting!A$11:B$50,2,FALSE),"")</f>
        <v/>
      </c>
      <c r="K468" s="20"/>
      <c r="L468" s="5" t="str">
        <f t="shared" si="49"/>
        <v/>
      </c>
      <c r="M468" t="str">
        <f t="shared" si="50"/>
        <v/>
      </c>
      <c r="O468" s="25"/>
    </row>
    <row r="469" spans="4:15" ht="17.25" customHeight="1">
      <c r="D469" s="19"/>
      <c r="F469" s="5"/>
      <c r="G469" s="20"/>
      <c r="H469" s="5"/>
      <c r="J469" s="5" t="str">
        <f>IF(A469&lt;&gt;"",VLOOKUP(A469,Setting!A$11:B$50,2,FALSE),"")</f>
        <v/>
      </c>
      <c r="K469" s="20"/>
      <c r="L469" s="5" t="str">
        <f t="shared" si="49"/>
        <v/>
      </c>
      <c r="M469" t="str">
        <f t="shared" si="50"/>
        <v/>
      </c>
      <c r="O469" s="25"/>
    </row>
    <row r="470" spans="4:15" ht="17.25" customHeight="1">
      <c r="D470" s="19"/>
      <c r="F470" s="5"/>
      <c r="G470" s="20"/>
      <c r="H470" s="5"/>
      <c r="J470" s="5" t="str">
        <f>IF(A470&lt;&gt;"",VLOOKUP(A470,Setting!A$11:B$50,2,FALSE),"")</f>
        <v/>
      </c>
      <c r="K470" s="20"/>
      <c r="L470" s="5" t="str">
        <f t="shared" si="49"/>
        <v/>
      </c>
      <c r="M470" t="str">
        <f t="shared" si="50"/>
        <v/>
      </c>
      <c r="O470" s="25"/>
    </row>
    <row r="471" spans="4:15" ht="17.25" customHeight="1">
      <c r="D471" s="19"/>
      <c r="F471" s="5"/>
      <c r="G471" s="20"/>
      <c r="H471" s="5"/>
      <c r="J471" s="5" t="str">
        <f>IF(A471&lt;&gt;"",VLOOKUP(A471,Setting!A$11:B$50,2,FALSE),"")</f>
        <v/>
      </c>
      <c r="K471" s="20"/>
      <c r="L471" s="5" t="str">
        <f t="shared" si="49"/>
        <v/>
      </c>
      <c r="M471" t="str">
        <f t="shared" si="50"/>
        <v/>
      </c>
      <c r="O471" s="25"/>
    </row>
    <row r="472" spans="4:15" ht="17.25" customHeight="1">
      <c r="D472" s="19"/>
      <c r="F472" s="5"/>
      <c r="G472" s="20"/>
      <c r="H472" s="5"/>
      <c r="J472" s="5" t="str">
        <f>IF(A472&lt;&gt;"",VLOOKUP(A472,Setting!A$11:B$50,2,FALSE),"")</f>
        <v/>
      </c>
      <c r="K472" s="20"/>
      <c r="L472" s="5" t="str">
        <f t="shared" si="49"/>
        <v/>
      </c>
      <c r="M472" t="str">
        <f t="shared" si="50"/>
        <v/>
      </c>
      <c r="O472" s="25"/>
    </row>
    <row r="473" spans="4:15" ht="17.25" customHeight="1">
      <c r="D473" s="19"/>
      <c r="F473" s="5"/>
      <c r="G473" s="20"/>
      <c r="H473" s="5"/>
      <c r="J473" s="5" t="str">
        <f>IF(A473&lt;&gt;"",VLOOKUP(A473,Setting!A$11:B$50,2,FALSE),"")</f>
        <v/>
      </c>
      <c r="K473" s="20"/>
      <c r="L473" s="5" t="str">
        <f t="shared" ref="L473:L514" si="51">IF(D473&lt;&gt;"",TEXT(D473,"0.0%"),"")</f>
        <v/>
      </c>
      <c r="M473" t="str">
        <f t="shared" ref="M473:M514" si="52">IF(J473&lt;&gt;"",IF(ISERROR(K473)=FALSE,J473&amp;":"&amp;K473&amp;" ("&amp;L473&amp;")","Error"),"")</f>
        <v/>
      </c>
      <c r="O473" s="25"/>
    </row>
    <row r="474" spans="4:15" ht="17.25" customHeight="1">
      <c r="D474" s="19"/>
      <c r="F474" s="5"/>
      <c r="G474" s="20"/>
      <c r="H474" s="5"/>
      <c r="J474" s="5" t="str">
        <f>IF(A474&lt;&gt;"",VLOOKUP(A474,Setting!A$11:B$50,2,FALSE),"")</f>
        <v/>
      </c>
      <c r="K474" s="20"/>
      <c r="L474" s="5" t="str">
        <f t="shared" si="51"/>
        <v/>
      </c>
      <c r="M474" t="str">
        <f t="shared" si="52"/>
        <v/>
      </c>
      <c r="O474" s="25"/>
    </row>
    <row r="475" spans="4:15" ht="17.25" customHeight="1">
      <c r="D475" s="19"/>
      <c r="F475" s="5"/>
      <c r="G475" s="20"/>
      <c r="H475" s="5"/>
      <c r="J475" s="5" t="str">
        <f>IF(A475&lt;&gt;"",VLOOKUP(A475,Setting!A$11:B$50,2,FALSE),"")</f>
        <v/>
      </c>
      <c r="K475" s="20"/>
      <c r="L475" s="5" t="str">
        <f t="shared" si="51"/>
        <v/>
      </c>
      <c r="M475" t="str">
        <f t="shared" si="52"/>
        <v/>
      </c>
      <c r="O475" s="25"/>
    </row>
    <row r="476" spans="4:15" ht="17.25" customHeight="1">
      <c r="D476" s="19"/>
      <c r="F476" s="5"/>
      <c r="G476" s="20"/>
      <c r="H476" s="5"/>
      <c r="J476" s="5" t="str">
        <f>IF(A476&lt;&gt;"",VLOOKUP(A476,Setting!A$11:B$50,2,FALSE),"")</f>
        <v/>
      </c>
      <c r="K476" s="20"/>
      <c r="L476" s="5" t="str">
        <f t="shared" si="51"/>
        <v/>
      </c>
      <c r="M476" t="str">
        <f t="shared" si="52"/>
        <v/>
      </c>
      <c r="O476" s="25"/>
    </row>
    <row r="477" spans="4:15" ht="17.25" customHeight="1">
      <c r="D477" s="19"/>
      <c r="F477" s="5"/>
      <c r="G477" s="20"/>
      <c r="H477" s="5"/>
      <c r="J477" s="5" t="str">
        <f>IF(A477&lt;&gt;"",VLOOKUP(A477,Setting!A$11:B$50,2,FALSE),"")</f>
        <v/>
      </c>
      <c r="K477" s="20"/>
      <c r="L477" s="5" t="str">
        <f t="shared" si="51"/>
        <v/>
      </c>
      <c r="M477" t="str">
        <f t="shared" si="52"/>
        <v/>
      </c>
      <c r="O477" s="25"/>
    </row>
    <row r="478" spans="4:15" ht="17.25" customHeight="1">
      <c r="D478" s="19"/>
      <c r="F478" s="5"/>
      <c r="G478" s="20"/>
      <c r="H478" s="5"/>
      <c r="J478" s="5" t="str">
        <f>IF(A478&lt;&gt;"",VLOOKUP(A478,Setting!A$11:B$50,2,FALSE),"")</f>
        <v/>
      </c>
      <c r="K478" s="20"/>
      <c r="L478" s="5" t="str">
        <f t="shared" si="51"/>
        <v/>
      </c>
      <c r="M478" t="str">
        <f t="shared" si="52"/>
        <v/>
      </c>
      <c r="O478" s="25"/>
    </row>
    <row r="479" spans="4:15" ht="17.25" customHeight="1">
      <c r="D479" s="19"/>
      <c r="F479" s="5"/>
      <c r="G479" s="20"/>
      <c r="H479" s="5"/>
      <c r="J479" s="5" t="str">
        <f>IF(A479&lt;&gt;"",VLOOKUP(A479,Setting!A$11:B$50,2,FALSE),"")</f>
        <v/>
      </c>
      <c r="K479" s="20"/>
      <c r="L479" s="5" t="str">
        <f t="shared" si="51"/>
        <v/>
      </c>
      <c r="M479" t="str">
        <f t="shared" si="52"/>
        <v/>
      </c>
      <c r="O479" s="25"/>
    </row>
    <row r="480" spans="4:15" ht="17.25" customHeight="1">
      <c r="D480" s="19"/>
      <c r="F480" s="5"/>
      <c r="G480" s="20"/>
      <c r="H480" s="5"/>
      <c r="J480" s="5" t="str">
        <f>IF(A480&lt;&gt;"",VLOOKUP(A480,Setting!A$11:B$50,2,FALSE),"")</f>
        <v/>
      </c>
      <c r="K480" s="20"/>
      <c r="L480" s="5" t="str">
        <f t="shared" si="51"/>
        <v/>
      </c>
      <c r="M480" t="str">
        <f t="shared" si="52"/>
        <v/>
      </c>
      <c r="O480" s="25"/>
    </row>
    <row r="481" spans="4:15" ht="17.25" customHeight="1">
      <c r="D481" s="19"/>
      <c r="F481" s="5"/>
      <c r="G481" s="20"/>
      <c r="H481" s="5"/>
      <c r="J481" s="5" t="str">
        <f>IF(A481&lt;&gt;"",VLOOKUP(A481,Setting!A$11:B$50,2,FALSE),"")</f>
        <v/>
      </c>
      <c r="K481" s="20"/>
      <c r="L481" s="5" t="str">
        <f t="shared" si="51"/>
        <v/>
      </c>
      <c r="M481" t="str">
        <f t="shared" si="52"/>
        <v/>
      </c>
      <c r="O481" s="25"/>
    </row>
    <row r="482" spans="4:15" ht="17.25" customHeight="1">
      <c r="D482" s="19"/>
      <c r="F482" s="5"/>
      <c r="G482" s="20"/>
      <c r="H482" s="5"/>
      <c r="J482" s="5" t="str">
        <f>IF(A482&lt;&gt;"",VLOOKUP(A482,Setting!A$11:B$50,2,FALSE),"")</f>
        <v/>
      </c>
      <c r="K482" s="20"/>
      <c r="L482" s="5" t="str">
        <f t="shared" si="51"/>
        <v/>
      </c>
      <c r="M482" t="str">
        <f t="shared" si="52"/>
        <v/>
      </c>
      <c r="O482" s="25"/>
    </row>
    <row r="483" spans="4:15" ht="17.25" customHeight="1">
      <c r="D483" s="19"/>
      <c r="F483" s="5"/>
      <c r="G483" s="20"/>
      <c r="H483" s="5"/>
      <c r="J483" s="5" t="str">
        <f>IF(A483&lt;&gt;"",VLOOKUP(A483,Setting!A$11:B$50,2,FALSE),"")</f>
        <v/>
      </c>
      <c r="K483" s="20"/>
      <c r="L483" s="5" t="str">
        <f t="shared" si="51"/>
        <v/>
      </c>
      <c r="M483" t="str">
        <f t="shared" si="52"/>
        <v/>
      </c>
      <c r="O483" s="25"/>
    </row>
    <row r="484" spans="4:15" ht="17.25" customHeight="1">
      <c r="D484" s="19"/>
      <c r="F484" s="5"/>
      <c r="G484" s="20"/>
      <c r="H484" s="5"/>
      <c r="J484" s="5" t="str">
        <f>IF(A484&lt;&gt;"",VLOOKUP(A484,Setting!A$11:B$50,2,FALSE),"")</f>
        <v/>
      </c>
      <c r="K484" s="20"/>
      <c r="L484" s="5" t="str">
        <f t="shared" si="51"/>
        <v/>
      </c>
      <c r="M484" t="str">
        <f t="shared" si="52"/>
        <v/>
      </c>
      <c r="O484" s="25"/>
    </row>
    <row r="485" spans="4:15" ht="17.25" customHeight="1">
      <c r="D485" s="19"/>
      <c r="F485" s="5"/>
      <c r="G485" s="20"/>
      <c r="H485" s="5"/>
      <c r="J485" s="5" t="str">
        <f>IF(A485&lt;&gt;"",VLOOKUP(A485,Setting!A$11:B$50,2,FALSE),"")</f>
        <v/>
      </c>
      <c r="K485" s="20"/>
      <c r="L485" s="5" t="str">
        <f t="shared" si="51"/>
        <v/>
      </c>
      <c r="M485" t="str">
        <f t="shared" si="52"/>
        <v/>
      </c>
      <c r="O485" s="25"/>
    </row>
    <row r="486" spans="4:15" ht="17.25" customHeight="1">
      <c r="D486" s="19"/>
      <c r="F486" s="5"/>
      <c r="G486" s="20"/>
      <c r="H486" s="5"/>
      <c r="J486" s="5" t="str">
        <f>IF(A486&lt;&gt;"",VLOOKUP(A486,Setting!A$11:B$50,2,FALSE),"")</f>
        <v/>
      </c>
      <c r="K486" s="20"/>
      <c r="L486" s="5" t="str">
        <f t="shared" si="51"/>
        <v/>
      </c>
      <c r="M486" t="str">
        <f t="shared" si="52"/>
        <v/>
      </c>
      <c r="O486" s="25"/>
    </row>
    <row r="487" spans="4:15" ht="17.25" customHeight="1">
      <c r="D487" s="19"/>
      <c r="F487" s="5"/>
      <c r="G487" s="20"/>
      <c r="H487" s="5"/>
      <c r="J487" s="5" t="str">
        <f>IF(A487&lt;&gt;"",VLOOKUP(A487,Setting!A$11:B$50,2,FALSE),"")</f>
        <v/>
      </c>
      <c r="K487" s="20"/>
      <c r="L487" s="5" t="str">
        <f t="shared" si="51"/>
        <v/>
      </c>
      <c r="M487" t="str">
        <f t="shared" si="52"/>
        <v/>
      </c>
      <c r="O487" s="25"/>
    </row>
    <row r="488" spans="4:15" ht="17.25" customHeight="1">
      <c r="D488" s="19" t="str">
        <f t="shared" ref="D488:D506" si="53">IF($A$20="Random",IF(C488&lt;&gt;"",C488/$C$22,""),"")</f>
        <v/>
      </c>
      <c r="F488" s="5"/>
      <c r="G488" s="20"/>
      <c r="H488" s="5"/>
      <c r="J488" s="5" t="str">
        <f>IF(A488&lt;&gt;"",VLOOKUP(A488,Setting!A$11:B$50,2,FALSE),"")</f>
        <v/>
      </c>
      <c r="K488" s="20"/>
      <c r="L488" s="5" t="str">
        <f t="shared" si="51"/>
        <v/>
      </c>
      <c r="M488" t="str">
        <f t="shared" si="52"/>
        <v/>
      </c>
      <c r="O488" s="25" t="str">
        <f t="shared" ref="O488:O505" si="54" xml:space="preserve"> IF(A488&lt;&gt;"",IF(ISERROR(J488),"Error",IF(ISERROR(K488),"Error",IF(ISERROR(M488),"Error",""))),"")</f>
        <v/>
      </c>
    </row>
    <row r="489" spans="4:15" ht="17.25" customHeight="1">
      <c r="D489" s="19" t="str">
        <f t="shared" si="53"/>
        <v/>
      </c>
      <c r="F489" s="5"/>
      <c r="G489" s="20"/>
      <c r="H489" s="5"/>
      <c r="J489" s="5" t="str">
        <f>IF(A489&lt;&gt;"",VLOOKUP(A489,Setting!A$11:B$50,2,FALSE),"")</f>
        <v/>
      </c>
      <c r="K489" s="20"/>
      <c r="L489" s="5" t="str">
        <f t="shared" si="51"/>
        <v/>
      </c>
      <c r="M489" t="str">
        <f t="shared" si="52"/>
        <v/>
      </c>
      <c r="O489" s="25" t="str">
        <f t="shared" si="54"/>
        <v/>
      </c>
    </row>
    <row r="490" spans="4:15" ht="17.25" customHeight="1">
      <c r="D490" s="19" t="str">
        <f t="shared" si="53"/>
        <v/>
      </c>
      <c r="F490" s="5"/>
      <c r="G490" s="20"/>
      <c r="H490" s="5"/>
      <c r="J490" s="5" t="str">
        <f>IF(A490&lt;&gt;"",VLOOKUP(A490,Setting!A$11:B$50,2,FALSE),"")</f>
        <v/>
      </c>
      <c r="K490" s="20"/>
      <c r="L490" s="5" t="str">
        <f t="shared" si="51"/>
        <v/>
      </c>
      <c r="M490" t="str">
        <f t="shared" si="52"/>
        <v/>
      </c>
      <c r="O490" s="25" t="str">
        <f t="shared" si="54"/>
        <v/>
      </c>
    </row>
    <row r="491" spans="4:15" ht="17.25" customHeight="1">
      <c r="D491" s="19" t="str">
        <f t="shared" si="53"/>
        <v/>
      </c>
      <c r="F491" s="5"/>
      <c r="G491" s="20"/>
      <c r="H491" s="5"/>
      <c r="J491" s="5" t="str">
        <f>IF(A491&lt;&gt;"",VLOOKUP(A491,Setting!A$11:B$50,2,FALSE),"")</f>
        <v/>
      </c>
      <c r="K491" s="20"/>
      <c r="L491" s="5" t="str">
        <f t="shared" si="51"/>
        <v/>
      </c>
      <c r="M491" t="str">
        <f t="shared" si="52"/>
        <v/>
      </c>
      <c r="O491" s="25" t="str">
        <f t="shared" si="54"/>
        <v/>
      </c>
    </row>
    <row r="492" spans="4:15" ht="17.25" customHeight="1">
      <c r="D492" s="19" t="str">
        <f t="shared" si="53"/>
        <v/>
      </c>
      <c r="F492" s="5"/>
      <c r="G492" s="20"/>
      <c r="H492" s="5"/>
      <c r="J492" s="5" t="str">
        <f>IF(A492&lt;&gt;"",VLOOKUP(A492,Setting!A$11:B$50,2,FALSE),"")</f>
        <v/>
      </c>
      <c r="K492" s="20"/>
      <c r="L492" s="5" t="str">
        <f t="shared" si="51"/>
        <v/>
      </c>
      <c r="M492" t="str">
        <f t="shared" si="52"/>
        <v/>
      </c>
      <c r="O492" s="25" t="str">
        <f t="shared" si="54"/>
        <v/>
      </c>
    </row>
    <row r="493" spans="4:15" ht="17.25" customHeight="1">
      <c r="D493" s="19" t="str">
        <f t="shared" si="53"/>
        <v/>
      </c>
      <c r="F493" s="5"/>
      <c r="G493" s="20"/>
      <c r="H493" s="5"/>
      <c r="J493" s="5" t="str">
        <f>IF(A493&lt;&gt;"",VLOOKUP(A493,Setting!A$11:B$50,2,FALSE),"")</f>
        <v/>
      </c>
      <c r="K493" s="20"/>
      <c r="L493" s="5" t="str">
        <f t="shared" si="51"/>
        <v/>
      </c>
      <c r="M493" t="str">
        <f t="shared" si="52"/>
        <v/>
      </c>
      <c r="O493" s="25" t="str">
        <f t="shared" si="54"/>
        <v/>
      </c>
    </row>
    <row r="494" spans="4:15" ht="17.25" customHeight="1">
      <c r="D494" s="19" t="str">
        <f t="shared" si="53"/>
        <v/>
      </c>
      <c r="F494" s="5"/>
      <c r="G494" s="20"/>
      <c r="H494" s="5"/>
      <c r="J494" s="5" t="str">
        <f>IF(A494&lt;&gt;"",VLOOKUP(A494,Setting!A$11:B$50,2,FALSE),"")</f>
        <v/>
      </c>
      <c r="K494" s="20"/>
      <c r="L494" s="5" t="str">
        <f t="shared" si="51"/>
        <v/>
      </c>
      <c r="M494" t="str">
        <f t="shared" si="52"/>
        <v/>
      </c>
      <c r="O494" s="25" t="str">
        <f t="shared" si="54"/>
        <v/>
      </c>
    </row>
    <row r="495" spans="4:15" ht="17.25" customHeight="1">
      <c r="D495" s="19" t="str">
        <f t="shared" si="53"/>
        <v/>
      </c>
      <c r="F495" s="5"/>
      <c r="G495" s="20"/>
      <c r="H495" s="5"/>
      <c r="J495" s="5" t="str">
        <f>IF(A495&lt;&gt;"",VLOOKUP(A495,Setting!A$11:B$50,2,FALSE),"")</f>
        <v/>
      </c>
      <c r="K495" s="20"/>
      <c r="L495" s="5" t="str">
        <f t="shared" si="51"/>
        <v/>
      </c>
      <c r="M495" t="str">
        <f t="shared" si="52"/>
        <v/>
      </c>
      <c r="O495" s="25" t="str">
        <f t="shared" si="54"/>
        <v/>
      </c>
    </row>
    <row r="496" spans="4:15" ht="17.25" customHeight="1">
      <c r="D496" s="19" t="str">
        <f t="shared" si="53"/>
        <v/>
      </c>
      <c r="F496" s="5"/>
      <c r="G496" s="20"/>
      <c r="H496" s="5"/>
      <c r="J496" s="5" t="str">
        <f>IF(A496&lt;&gt;"",VLOOKUP(A496,Setting!A$11:B$50,2,FALSE),"")</f>
        <v/>
      </c>
      <c r="K496" s="20"/>
      <c r="L496" s="5" t="str">
        <f t="shared" si="51"/>
        <v/>
      </c>
      <c r="M496" t="str">
        <f t="shared" si="52"/>
        <v/>
      </c>
      <c r="O496" s="25" t="str">
        <f t="shared" si="54"/>
        <v/>
      </c>
    </row>
    <row r="497" spans="4:15" ht="17.25" customHeight="1">
      <c r="D497" s="19" t="str">
        <f t="shared" si="53"/>
        <v/>
      </c>
      <c r="F497" s="5"/>
      <c r="G497" s="20"/>
      <c r="H497" s="5"/>
      <c r="J497" s="5" t="str">
        <f>IF(A497&lt;&gt;"",VLOOKUP(A497,Setting!A$11:B$50,2,FALSE),"")</f>
        <v/>
      </c>
      <c r="K497" s="20"/>
      <c r="L497" s="5" t="str">
        <f t="shared" si="51"/>
        <v/>
      </c>
      <c r="M497" t="str">
        <f t="shared" si="52"/>
        <v/>
      </c>
      <c r="O497" s="25" t="str">
        <f t="shared" si="54"/>
        <v/>
      </c>
    </row>
    <row r="498" spans="4:15" ht="17.25" customHeight="1">
      <c r="D498" s="19" t="str">
        <f t="shared" si="53"/>
        <v/>
      </c>
      <c r="F498" s="5"/>
      <c r="G498" s="20"/>
      <c r="H498" s="5"/>
      <c r="J498" s="5" t="str">
        <f>IF(A498&lt;&gt;"",VLOOKUP(A498,Setting!A$11:B$50,2,FALSE),"")</f>
        <v/>
      </c>
      <c r="K498" s="20"/>
      <c r="L498" s="5" t="str">
        <f t="shared" si="51"/>
        <v/>
      </c>
      <c r="M498" t="str">
        <f t="shared" si="52"/>
        <v/>
      </c>
      <c r="O498" s="25" t="str">
        <f t="shared" si="54"/>
        <v/>
      </c>
    </row>
    <row r="499" spans="4:15" ht="17.25" customHeight="1">
      <c r="D499" s="19" t="str">
        <f t="shared" si="53"/>
        <v/>
      </c>
      <c r="F499" s="5"/>
      <c r="G499" s="20"/>
      <c r="H499" s="5"/>
      <c r="J499" s="5" t="str">
        <f>IF(A499&lt;&gt;"",VLOOKUP(A499,Setting!A$11:B$50,2,FALSE),"")</f>
        <v/>
      </c>
      <c r="K499" s="20"/>
      <c r="L499" s="5" t="str">
        <f t="shared" si="51"/>
        <v/>
      </c>
      <c r="M499" t="str">
        <f t="shared" si="52"/>
        <v/>
      </c>
      <c r="O499" s="25" t="str">
        <f t="shared" si="54"/>
        <v/>
      </c>
    </row>
    <row r="500" spans="4:15" ht="17.25" customHeight="1">
      <c r="D500" s="19" t="str">
        <f t="shared" si="53"/>
        <v/>
      </c>
      <c r="F500" s="5"/>
      <c r="G500" s="20"/>
      <c r="H500" s="5"/>
      <c r="J500" s="5" t="str">
        <f>IF(A500&lt;&gt;"",VLOOKUP(A500,Setting!A$11:B$50,2,FALSE),"")</f>
        <v/>
      </c>
      <c r="K500" s="20"/>
      <c r="L500" s="5" t="str">
        <f t="shared" si="51"/>
        <v/>
      </c>
      <c r="M500" t="str">
        <f t="shared" si="52"/>
        <v/>
      </c>
      <c r="O500" s="25" t="str">
        <f t="shared" si="54"/>
        <v/>
      </c>
    </row>
    <row r="501" spans="4:15" ht="17.25" customHeight="1">
      <c r="D501" s="19" t="str">
        <f t="shared" si="53"/>
        <v/>
      </c>
      <c r="F501" s="5"/>
      <c r="G501" s="20"/>
      <c r="H501" s="5"/>
      <c r="J501" s="5" t="str">
        <f>IF(A501&lt;&gt;"",VLOOKUP(A501,Setting!A$11:B$50,2,FALSE),"")</f>
        <v/>
      </c>
      <c r="K501" s="20"/>
      <c r="L501" s="5" t="str">
        <f t="shared" si="51"/>
        <v/>
      </c>
      <c r="M501" t="str">
        <f t="shared" si="52"/>
        <v/>
      </c>
      <c r="O501" s="25" t="str">
        <f t="shared" si="54"/>
        <v/>
      </c>
    </row>
    <row r="502" spans="4:15" ht="17.25" customHeight="1">
      <c r="D502" s="19" t="str">
        <f t="shared" si="53"/>
        <v/>
      </c>
      <c r="F502" s="5"/>
      <c r="G502" s="20"/>
      <c r="H502" s="5"/>
      <c r="J502" s="5" t="str">
        <f>IF(A502&lt;&gt;"",VLOOKUP(A502,Setting!A$11:B$50,2,FALSE),"")</f>
        <v/>
      </c>
      <c r="K502" s="20"/>
      <c r="L502" s="5" t="str">
        <f t="shared" si="51"/>
        <v/>
      </c>
      <c r="M502" t="str">
        <f t="shared" si="52"/>
        <v/>
      </c>
      <c r="O502" s="25" t="str">
        <f t="shared" si="54"/>
        <v/>
      </c>
    </row>
    <row r="503" spans="4:15" ht="17.25" customHeight="1">
      <c r="D503" s="19" t="str">
        <f t="shared" si="53"/>
        <v/>
      </c>
      <c r="F503" s="5"/>
      <c r="G503" s="20"/>
      <c r="H503" s="5"/>
      <c r="J503" s="5" t="str">
        <f>IF(A503&lt;&gt;"",VLOOKUP(A503,Setting!A$11:B$50,2,FALSE),"")</f>
        <v/>
      </c>
      <c r="K503" s="20"/>
      <c r="L503" s="5" t="str">
        <f t="shared" si="51"/>
        <v/>
      </c>
      <c r="M503" t="str">
        <f t="shared" si="52"/>
        <v/>
      </c>
      <c r="O503" s="25" t="str">
        <f t="shared" si="54"/>
        <v/>
      </c>
    </row>
    <row r="504" spans="4:15" ht="17.25" customHeight="1">
      <c r="D504" s="19" t="str">
        <f t="shared" si="53"/>
        <v/>
      </c>
      <c r="F504" s="5"/>
      <c r="G504" s="20"/>
      <c r="H504" s="5"/>
      <c r="J504" s="5" t="str">
        <f>IF(A504&lt;&gt;"",VLOOKUP(A504,Setting!A$11:B$50,2,FALSE),"")</f>
        <v/>
      </c>
      <c r="K504" s="20"/>
      <c r="L504" s="5" t="str">
        <f t="shared" si="51"/>
        <v/>
      </c>
      <c r="M504" t="str">
        <f t="shared" si="52"/>
        <v/>
      </c>
      <c r="O504" s="25" t="str">
        <f t="shared" si="54"/>
        <v/>
      </c>
    </row>
    <row r="505" spans="4:15" ht="17.25" customHeight="1">
      <c r="D505" s="19" t="str">
        <f t="shared" si="53"/>
        <v/>
      </c>
      <c r="F505" s="5"/>
      <c r="G505" s="20"/>
      <c r="H505" s="5"/>
      <c r="J505" s="5" t="str">
        <f>IF(A505&lt;&gt;"",VLOOKUP(A505,Setting!A$11:B$50,2,FALSE),"")</f>
        <v/>
      </c>
      <c r="K505" s="20"/>
      <c r="L505" s="5" t="str">
        <f t="shared" si="51"/>
        <v/>
      </c>
      <c r="M505" t="str">
        <f t="shared" si="52"/>
        <v/>
      </c>
      <c r="O505" s="25" t="str">
        <f t="shared" si="54"/>
        <v/>
      </c>
    </row>
    <row r="506" spans="4:15" ht="17.25" customHeight="1">
      <c r="D506" s="19" t="str">
        <f t="shared" si="53"/>
        <v/>
      </c>
      <c r="F506" s="5"/>
      <c r="G506" s="20"/>
      <c r="H506" s="5"/>
      <c r="J506" s="5" t="str">
        <f>IF(A506&lt;&gt;"",VLOOKUP(A506,Setting!A$11:B$50,2,FALSE),"")</f>
        <v/>
      </c>
      <c r="K506" s="20"/>
      <c r="L506" s="5" t="str">
        <f t="shared" si="51"/>
        <v/>
      </c>
      <c r="M506" t="str">
        <f t="shared" si="52"/>
        <v/>
      </c>
      <c r="O506" s="25" t="str">
        <f t="shared" ref="O506:O526" si="55" xml:space="preserve"> IF(A506&lt;&gt;"",IF(ISERROR(J506),"Error",IF(ISERROR(K506),"Error",IF(ISERROR(M506),"Error",""))),"")</f>
        <v/>
      </c>
    </row>
    <row r="507" spans="4:15" ht="17.25" customHeight="1">
      <c r="D507" s="19" t="str">
        <f t="shared" ref="D507:D526" si="56">IF($A$20="Random",IF(C507&lt;&gt;"",C507/$C$22,""),"")</f>
        <v/>
      </c>
      <c r="F507" s="5"/>
      <c r="G507" s="20"/>
      <c r="H507" s="5"/>
      <c r="J507" s="5" t="str">
        <f>IF(A507&lt;&gt;"",VLOOKUP(A507,Setting!A$11:B$50,2,FALSE),"")</f>
        <v/>
      </c>
      <c r="K507" s="20"/>
      <c r="L507" s="5" t="str">
        <f t="shared" si="51"/>
        <v/>
      </c>
      <c r="M507" t="str">
        <f t="shared" si="52"/>
        <v/>
      </c>
      <c r="O507" s="25" t="str">
        <f t="shared" si="55"/>
        <v/>
      </c>
    </row>
    <row r="508" spans="4:15" ht="17.25" customHeight="1">
      <c r="D508" s="19" t="str">
        <f t="shared" si="56"/>
        <v/>
      </c>
      <c r="F508" s="5"/>
      <c r="G508" s="20"/>
      <c r="H508" s="5"/>
      <c r="J508" s="5" t="str">
        <f>IF(A508&lt;&gt;"",VLOOKUP(A508,Setting!A$11:B$50,2,FALSE),"")</f>
        <v/>
      </c>
      <c r="K508" s="20"/>
      <c r="L508" s="5" t="str">
        <f t="shared" si="51"/>
        <v/>
      </c>
      <c r="M508" t="str">
        <f t="shared" si="52"/>
        <v/>
      </c>
      <c r="O508" s="25" t="str">
        <f t="shared" si="55"/>
        <v/>
      </c>
    </row>
    <row r="509" spans="4:15" ht="17.25" customHeight="1">
      <c r="D509" s="19" t="str">
        <f t="shared" si="56"/>
        <v/>
      </c>
      <c r="F509" s="5"/>
      <c r="G509" s="20"/>
      <c r="H509" s="5"/>
      <c r="J509" s="5" t="str">
        <f>IF(A509&lt;&gt;"",VLOOKUP(A509,Setting!A$11:B$50,2,FALSE),"")</f>
        <v/>
      </c>
      <c r="K509" s="20"/>
      <c r="L509" s="5" t="str">
        <f t="shared" si="51"/>
        <v/>
      </c>
      <c r="M509" t="str">
        <f t="shared" si="52"/>
        <v/>
      </c>
      <c r="O509" s="25" t="str">
        <f t="shared" si="55"/>
        <v/>
      </c>
    </row>
    <row r="510" spans="4:15" ht="17.25" customHeight="1">
      <c r="D510" s="19" t="str">
        <f t="shared" si="56"/>
        <v/>
      </c>
      <c r="F510" s="5"/>
      <c r="G510" s="20"/>
      <c r="H510" s="5"/>
      <c r="J510" s="5" t="str">
        <f>IF(A510&lt;&gt;"",VLOOKUP(A510,Setting!A$11:B$50,2,FALSE),"")</f>
        <v/>
      </c>
      <c r="K510" s="20"/>
      <c r="L510" s="5" t="str">
        <f t="shared" si="51"/>
        <v/>
      </c>
      <c r="M510" t="str">
        <f t="shared" si="52"/>
        <v/>
      </c>
      <c r="O510" s="25" t="str">
        <f t="shared" si="55"/>
        <v/>
      </c>
    </row>
    <row r="511" spans="4:15" ht="17.25" customHeight="1">
      <c r="D511" s="19" t="str">
        <f t="shared" si="56"/>
        <v/>
      </c>
      <c r="F511" s="5"/>
      <c r="G511" s="20"/>
      <c r="H511" s="5"/>
      <c r="J511" s="5" t="str">
        <f>IF(A511&lt;&gt;"",VLOOKUP(A511,Setting!A$11:B$50,2,FALSE),"")</f>
        <v/>
      </c>
      <c r="K511" s="20"/>
      <c r="L511" s="5" t="str">
        <f t="shared" si="51"/>
        <v/>
      </c>
      <c r="M511" t="str">
        <f t="shared" si="52"/>
        <v/>
      </c>
      <c r="O511" s="25" t="str">
        <f t="shared" si="55"/>
        <v/>
      </c>
    </row>
    <row r="512" spans="4:15" ht="17.25" customHeight="1">
      <c r="D512" s="19" t="str">
        <f t="shared" si="56"/>
        <v/>
      </c>
      <c r="F512" s="5"/>
      <c r="G512" s="20"/>
      <c r="H512" s="5"/>
      <c r="J512" s="5" t="str">
        <f>IF(A512&lt;&gt;"",VLOOKUP(A512,Setting!A$11:B$50,2,FALSE),"")</f>
        <v/>
      </c>
      <c r="K512" s="20"/>
      <c r="L512" s="5" t="str">
        <f t="shared" si="51"/>
        <v/>
      </c>
      <c r="M512" t="str">
        <f t="shared" si="52"/>
        <v/>
      </c>
      <c r="O512" s="25" t="str">
        <f t="shared" si="55"/>
        <v/>
      </c>
    </row>
    <row r="513" spans="4:15" ht="17.25" customHeight="1">
      <c r="D513" s="19" t="str">
        <f t="shared" si="56"/>
        <v/>
      </c>
      <c r="F513" s="5"/>
      <c r="G513" s="20"/>
      <c r="H513" s="5"/>
      <c r="J513" s="5" t="str">
        <f>IF(A513&lt;&gt;"",VLOOKUP(A513,Setting!A$11:B$50,2,FALSE),"")</f>
        <v/>
      </c>
      <c r="K513" s="20"/>
      <c r="L513" s="5" t="str">
        <f t="shared" si="51"/>
        <v/>
      </c>
      <c r="M513" t="str">
        <f t="shared" si="52"/>
        <v/>
      </c>
      <c r="O513" s="25" t="str">
        <f t="shared" si="55"/>
        <v/>
      </c>
    </row>
    <row r="514" spans="4:15" ht="17.25" customHeight="1">
      <c r="D514" s="19" t="str">
        <f t="shared" si="56"/>
        <v/>
      </c>
      <c r="F514" s="5"/>
      <c r="G514" s="20"/>
      <c r="H514" s="5"/>
      <c r="J514" s="5" t="str">
        <f>IF(A514&lt;&gt;"",VLOOKUP(A514,Setting!A$11:B$50,2,FALSE),"")</f>
        <v/>
      </c>
      <c r="K514" s="20"/>
      <c r="L514" s="5" t="str">
        <f t="shared" si="51"/>
        <v/>
      </c>
      <c r="M514" t="str">
        <f t="shared" si="52"/>
        <v/>
      </c>
      <c r="O514" s="25" t="str">
        <f t="shared" si="55"/>
        <v/>
      </c>
    </row>
    <row r="515" spans="4:15" ht="17.25" customHeight="1">
      <c r="D515" s="19" t="str">
        <f t="shared" si="56"/>
        <v/>
      </c>
      <c r="F515" s="5"/>
      <c r="G515" s="20"/>
      <c r="H515" s="5"/>
      <c r="J515" s="5" t="str">
        <f>IF(A515&lt;&gt;"",VLOOKUP(A515,Setting!A$11:B$50,2,FALSE),"")</f>
        <v/>
      </c>
      <c r="K515" s="20"/>
      <c r="L515" s="5" t="str">
        <f t="shared" ref="L515:L570" si="57">IF(D515&lt;&gt;"",TEXT(D515,"0.0%"),"")</f>
        <v/>
      </c>
      <c r="M515" t="str">
        <f t="shared" ref="M515:M570" si="58">IF(J515&lt;&gt;"",IF(ISERROR(K515)=FALSE,J515&amp;":"&amp;K515&amp;" ("&amp;L515&amp;")","Error"),"")</f>
        <v/>
      </c>
      <c r="O515" s="25" t="str">
        <f t="shared" si="55"/>
        <v/>
      </c>
    </row>
    <row r="516" spans="4:15" ht="17.25" customHeight="1">
      <c r="D516" s="19" t="str">
        <f t="shared" si="56"/>
        <v/>
      </c>
      <c r="F516" s="5"/>
      <c r="G516" s="20"/>
      <c r="H516" s="5"/>
      <c r="J516" s="5" t="str">
        <f>IF(A516&lt;&gt;"",VLOOKUP(A516,Setting!A$11:B$50,2,FALSE),"")</f>
        <v/>
      </c>
      <c r="K516" s="20"/>
      <c r="L516" s="5" t="str">
        <f t="shared" si="57"/>
        <v/>
      </c>
      <c r="M516" t="str">
        <f t="shared" si="58"/>
        <v/>
      </c>
      <c r="O516" s="25" t="str">
        <f t="shared" si="55"/>
        <v/>
      </c>
    </row>
    <row r="517" spans="4:15" ht="17.25" customHeight="1">
      <c r="D517" s="19" t="str">
        <f t="shared" si="56"/>
        <v/>
      </c>
      <c r="F517" s="5"/>
      <c r="G517" s="20"/>
      <c r="H517" s="5"/>
      <c r="J517" s="5" t="str">
        <f>IF(A517&lt;&gt;"",VLOOKUP(A517,Setting!A$11:B$50,2,FALSE),"")</f>
        <v/>
      </c>
      <c r="K517" s="20"/>
      <c r="L517" s="5" t="str">
        <f t="shared" si="57"/>
        <v/>
      </c>
      <c r="M517" t="str">
        <f t="shared" si="58"/>
        <v/>
      </c>
      <c r="O517" s="25" t="str">
        <f t="shared" si="55"/>
        <v/>
      </c>
    </row>
    <row r="518" spans="4:15" ht="17.25" customHeight="1">
      <c r="D518" s="19" t="str">
        <f t="shared" si="56"/>
        <v/>
      </c>
      <c r="F518" s="5"/>
      <c r="G518" s="20"/>
      <c r="H518" s="5"/>
      <c r="J518" s="5" t="str">
        <f>IF(A518&lt;&gt;"",VLOOKUP(A518,Setting!A$11:B$50,2,FALSE),"")</f>
        <v/>
      </c>
      <c r="K518" s="20"/>
      <c r="L518" s="5" t="str">
        <f t="shared" si="57"/>
        <v/>
      </c>
      <c r="M518" t="str">
        <f t="shared" si="58"/>
        <v/>
      </c>
      <c r="O518" s="25" t="str">
        <f t="shared" si="55"/>
        <v/>
      </c>
    </row>
    <row r="519" spans="4:15" ht="17.25" customHeight="1">
      <c r="D519" s="19" t="str">
        <f t="shared" si="56"/>
        <v/>
      </c>
      <c r="F519" s="5"/>
      <c r="G519" s="20"/>
      <c r="H519" s="5"/>
      <c r="J519" s="5" t="str">
        <f>IF(A519&lt;&gt;"",VLOOKUP(A519,Setting!A$11:B$50,2,FALSE),"")</f>
        <v/>
      </c>
      <c r="K519" s="20"/>
      <c r="L519" s="5" t="str">
        <f t="shared" si="57"/>
        <v/>
      </c>
      <c r="M519" t="str">
        <f t="shared" si="58"/>
        <v/>
      </c>
      <c r="O519" s="25" t="str">
        <f t="shared" si="55"/>
        <v/>
      </c>
    </row>
    <row r="520" spans="4:15" ht="17.25" customHeight="1">
      <c r="D520" s="19" t="str">
        <f t="shared" si="56"/>
        <v/>
      </c>
      <c r="F520" s="5"/>
      <c r="G520" s="20"/>
      <c r="H520" s="5"/>
      <c r="J520" s="5" t="str">
        <f>IF(A520&lt;&gt;"",VLOOKUP(A520,Setting!A$11:B$50,2,FALSE),"")</f>
        <v/>
      </c>
      <c r="K520" s="20"/>
      <c r="L520" s="5" t="str">
        <f t="shared" si="57"/>
        <v/>
      </c>
      <c r="M520" t="str">
        <f t="shared" si="58"/>
        <v/>
      </c>
      <c r="O520" s="25" t="str">
        <f t="shared" si="55"/>
        <v/>
      </c>
    </row>
    <row r="521" spans="4:15" ht="17.25" customHeight="1">
      <c r="D521" s="19" t="str">
        <f t="shared" si="56"/>
        <v/>
      </c>
      <c r="F521" s="5"/>
      <c r="G521" s="20"/>
      <c r="H521" s="5"/>
      <c r="J521" s="5" t="str">
        <f>IF(A521&lt;&gt;"",VLOOKUP(A521,Setting!A$11:B$50,2,FALSE),"")</f>
        <v/>
      </c>
      <c r="K521" s="20"/>
      <c r="L521" s="5" t="str">
        <f t="shared" si="57"/>
        <v/>
      </c>
      <c r="M521" t="str">
        <f t="shared" si="58"/>
        <v/>
      </c>
      <c r="O521" s="25" t="str">
        <f t="shared" si="55"/>
        <v/>
      </c>
    </row>
    <row r="522" spans="4:15" ht="17.25" customHeight="1">
      <c r="D522" s="19" t="str">
        <f t="shared" si="56"/>
        <v/>
      </c>
      <c r="F522" s="5"/>
      <c r="G522" s="20"/>
      <c r="H522" s="5"/>
      <c r="J522" s="5" t="str">
        <f>IF(A522&lt;&gt;"",VLOOKUP(A522,Setting!A$11:B$50,2,FALSE),"")</f>
        <v/>
      </c>
      <c r="K522" s="20"/>
      <c r="L522" s="5" t="str">
        <f t="shared" si="57"/>
        <v/>
      </c>
      <c r="M522" t="str">
        <f t="shared" si="58"/>
        <v/>
      </c>
      <c r="O522" s="25" t="str">
        <f t="shared" si="55"/>
        <v/>
      </c>
    </row>
    <row r="523" spans="4:15" ht="17.25" customHeight="1">
      <c r="D523" s="19" t="str">
        <f t="shared" si="56"/>
        <v/>
      </c>
      <c r="F523" s="5"/>
      <c r="G523" s="20"/>
      <c r="H523" s="5"/>
      <c r="J523" s="5" t="str">
        <f>IF(A523&lt;&gt;"",VLOOKUP(A523,Setting!A$11:B$50,2,FALSE),"")</f>
        <v/>
      </c>
      <c r="K523" s="20"/>
      <c r="L523" s="5" t="str">
        <f t="shared" si="57"/>
        <v/>
      </c>
      <c r="M523" t="str">
        <f t="shared" si="58"/>
        <v/>
      </c>
      <c r="O523" s="25" t="str">
        <f t="shared" si="55"/>
        <v/>
      </c>
    </row>
    <row r="524" spans="4:15" ht="17.25" customHeight="1">
      <c r="D524" s="19" t="str">
        <f t="shared" si="56"/>
        <v/>
      </c>
      <c r="F524" s="5"/>
      <c r="G524" s="20"/>
      <c r="H524" s="5"/>
      <c r="J524" s="5" t="str">
        <f>IF(A524&lt;&gt;"",VLOOKUP(A524,Setting!A$11:B$50,2,FALSE),"")</f>
        <v/>
      </c>
      <c r="K524" s="20"/>
      <c r="L524" s="5" t="str">
        <f t="shared" si="57"/>
        <v/>
      </c>
      <c r="M524" t="str">
        <f t="shared" si="58"/>
        <v/>
      </c>
      <c r="O524" s="25" t="str">
        <f t="shared" si="55"/>
        <v/>
      </c>
    </row>
    <row r="525" spans="4:15" ht="17.25" customHeight="1">
      <c r="D525" s="19" t="str">
        <f t="shared" si="56"/>
        <v/>
      </c>
      <c r="F525" s="5"/>
      <c r="G525" s="20"/>
      <c r="H525" s="5"/>
      <c r="J525" s="5" t="str">
        <f>IF(A525&lt;&gt;"",VLOOKUP(A525,Setting!A$11:B$50,2,FALSE),"")</f>
        <v/>
      </c>
      <c r="K525" s="20"/>
      <c r="L525" s="5" t="str">
        <f t="shared" si="57"/>
        <v/>
      </c>
      <c r="M525" t="str">
        <f t="shared" si="58"/>
        <v/>
      </c>
      <c r="O525" s="25" t="str">
        <f t="shared" si="55"/>
        <v/>
      </c>
    </row>
    <row r="526" spans="4:15" ht="17.25" customHeight="1">
      <c r="D526" s="19" t="str">
        <f t="shared" si="56"/>
        <v/>
      </c>
      <c r="F526" s="5"/>
      <c r="G526" s="20"/>
      <c r="H526" s="5"/>
      <c r="J526" s="5" t="str">
        <f>IF(A526&lt;&gt;"",VLOOKUP(A526,Setting!A$11:B$50,2,FALSE),"")</f>
        <v/>
      </c>
      <c r="K526" s="20"/>
      <c r="L526" s="5" t="str">
        <f t="shared" si="57"/>
        <v/>
      </c>
      <c r="M526" t="str">
        <f t="shared" si="58"/>
        <v/>
      </c>
      <c r="O526" s="25" t="str">
        <f t="shared" si="55"/>
        <v/>
      </c>
    </row>
    <row r="527" spans="4:15" ht="17.25" customHeight="1">
      <c r="F527" s="5"/>
      <c r="G527" s="20"/>
      <c r="H527" s="5"/>
      <c r="J527" s="5" t="str">
        <f>IF(A527&lt;&gt;"",VLOOKUP(A527,Setting!A$11:B$50,2,FALSE),"")</f>
        <v/>
      </c>
      <c r="K527" s="20"/>
      <c r="L527" s="5" t="str">
        <f t="shared" si="57"/>
        <v/>
      </c>
      <c r="M527" t="str">
        <f t="shared" si="58"/>
        <v/>
      </c>
    </row>
    <row r="528" spans="4:15" ht="17.25" customHeight="1">
      <c r="F528" s="5"/>
      <c r="G528" s="20"/>
      <c r="H528" s="5"/>
      <c r="J528" s="5" t="str">
        <f>IF(A528&lt;&gt;"",VLOOKUP(A528,Setting!A$11:B$50,2,FALSE),"")</f>
        <v/>
      </c>
      <c r="K528" s="20"/>
      <c r="L528" s="5" t="str">
        <f t="shared" si="57"/>
        <v/>
      </c>
      <c r="M528" t="str">
        <f t="shared" si="58"/>
        <v/>
      </c>
    </row>
    <row r="529" spans="6:13" ht="17.25" customHeight="1">
      <c r="F529" s="5"/>
      <c r="G529" s="20"/>
      <c r="H529" s="5"/>
      <c r="J529" s="5" t="str">
        <f>IF(A529&lt;&gt;"",VLOOKUP(A529,Setting!A$11:B$50,2,FALSE),"")</f>
        <v/>
      </c>
      <c r="K529" s="20"/>
      <c r="L529" s="5" t="str">
        <f t="shared" si="57"/>
        <v/>
      </c>
      <c r="M529" t="str">
        <f t="shared" si="58"/>
        <v/>
      </c>
    </row>
    <row r="530" spans="6:13" ht="17.25" customHeight="1">
      <c r="F530" s="5"/>
      <c r="G530" s="20"/>
      <c r="H530" s="5"/>
      <c r="J530" s="5" t="str">
        <f>IF(A530&lt;&gt;"",VLOOKUP(A530,Setting!A$11:B$50,2,FALSE),"")</f>
        <v/>
      </c>
      <c r="K530" s="20"/>
      <c r="L530" s="5" t="str">
        <f t="shared" si="57"/>
        <v/>
      </c>
      <c r="M530" t="str">
        <f t="shared" si="58"/>
        <v/>
      </c>
    </row>
    <row r="531" spans="6:13" ht="17.25" customHeight="1">
      <c r="F531" s="5"/>
      <c r="G531" s="20"/>
      <c r="H531" s="5"/>
      <c r="J531" s="5" t="str">
        <f>IF(A531&lt;&gt;"",VLOOKUP(A531,Setting!A$11:B$50,2,FALSE),"")</f>
        <v/>
      </c>
      <c r="K531" s="20"/>
      <c r="L531" s="5" t="str">
        <f t="shared" si="57"/>
        <v/>
      </c>
      <c r="M531" t="str">
        <f t="shared" si="58"/>
        <v/>
      </c>
    </row>
    <row r="532" spans="6:13" ht="17.25" customHeight="1">
      <c r="F532" s="5"/>
      <c r="G532" s="20"/>
      <c r="H532" s="5"/>
      <c r="J532" s="5" t="str">
        <f>IF(A532&lt;&gt;"",VLOOKUP(A532,Setting!A$11:B$50,2,FALSE),"")</f>
        <v/>
      </c>
      <c r="K532" s="20"/>
      <c r="L532" s="5" t="str">
        <f t="shared" si="57"/>
        <v/>
      </c>
      <c r="M532" t="str">
        <f t="shared" si="58"/>
        <v/>
      </c>
    </row>
    <row r="533" spans="6:13" ht="17.25" customHeight="1">
      <c r="F533" s="5"/>
      <c r="G533" s="20"/>
      <c r="H533" s="5"/>
      <c r="J533" s="5" t="str">
        <f>IF(A533&lt;&gt;"",VLOOKUP(A533,Setting!A$11:B$50,2,FALSE),"")</f>
        <v/>
      </c>
      <c r="K533" s="20"/>
      <c r="L533" s="5" t="str">
        <f t="shared" si="57"/>
        <v/>
      </c>
      <c r="M533" t="str">
        <f t="shared" si="58"/>
        <v/>
      </c>
    </row>
    <row r="534" spans="6:13" ht="17.25" customHeight="1">
      <c r="F534" s="5"/>
      <c r="G534" s="20"/>
      <c r="H534" s="5"/>
      <c r="J534" s="5" t="str">
        <f>IF(A534&lt;&gt;"",VLOOKUP(A534,Setting!A$11:B$50,2,FALSE),"")</f>
        <v/>
      </c>
      <c r="K534" s="20"/>
      <c r="L534" s="5" t="str">
        <f t="shared" si="57"/>
        <v/>
      </c>
      <c r="M534" t="str">
        <f t="shared" si="58"/>
        <v/>
      </c>
    </row>
    <row r="535" spans="6:13" ht="17.25" customHeight="1">
      <c r="F535" s="5"/>
      <c r="G535" s="20"/>
      <c r="H535" s="5"/>
      <c r="J535" s="5" t="str">
        <f>IF(A535&lt;&gt;"",VLOOKUP(A535,Setting!A$11:B$50,2,FALSE),"")</f>
        <v/>
      </c>
      <c r="K535" s="20"/>
      <c r="L535" s="5" t="str">
        <f t="shared" si="57"/>
        <v/>
      </c>
      <c r="M535" t="str">
        <f t="shared" si="58"/>
        <v/>
      </c>
    </row>
    <row r="536" spans="6:13" ht="17.25" customHeight="1">
      <c r="F536" s="5"/>
      <c r="G536" s="20"/>
      <c r="H536" s="5"/>
      <c r="J536" s="5" t="str">
        <f>IF(A536&lt;&gt;"",VLOOKUP(A536,Setting!A$11:B$50,2,FALSE),"")</f>
        <v/>
      </c>
      <c r="K536" s="20"/>
      <c r="L536" s="5" t="str">
        <f t="shared" si="57"/>
        <v/>
      </c>
      <c r="M536" t="str">
        <f t="shared" si="58"/>
        <v/>
      </c>
    </row>
    <row r="537" spans="6:13" ht="17.25" customHeight="1">
      <c r="F537" s="5"/>
      <c r="G537" s="20"/>
      <c r="H537" s="5"/>
      <c r="J537" s="5" t="str">
        <f>IF(A537&lt;&gt;"",VLOOKUP(A537,Setting!A$11:B$50,2,FALSE),"")</f>
        <v/>
      </c>
      <c r="K537" s="20"/>
      <c r="L537" s="5" t="str">
        <f t="shared" si="57"/>
        <v/>
      </c>
      <c r="M537" t="str">
        <f t="shared" si="58"/>
        <v/>
      </c>
    </row>
    <row r="538" spans="6:13" ht="17.25" customHeight="1">
      <c r="F538" s="5"/>
      <c r="G538" s="20"/>
      <c r="H538" s="5"/>
      <c r="J538" s="5" t="str">
        <f>IF(A538&lt;&gt;"",VLOOKUP(A538,Setting!A$11:B$50,2,FALSE),"")</f>
        <v/>
      </c>
      <c r="K538" s="20"/>
      <c r="L538" s="5" t="str">
        <f t="shared" si="57"/>
        <v/>
      </c>
      <c r="M538" t="str">
        <f t="shared" si="58"/>
        <v/>
      </c>
    </row>
    <row r="539" spans="6:13" ht="17.25" customHeight="1">
      <c r="F539" s="5"/>
      <c r="G539" s="20"/>
      <c r="H539" s="5"/>
      <c r="J539" s="5" t="str">
        <f>IF(A539&lt;&gt;"",VLOOKUP(A539,Setting!A$11:B$50,2,FALSE),"")</f>
        <v/>
      </c>
      <c r="K539" s="20"/>
      <c r="L539" s="5" t="str">
        <f t="shared" si="57"/>
        <v/>
      </c>
      <c r="M539" t="str">
        <f t="shared" si="58"/>
        <v/>
      </c>
    </row>
    <row r="540" spans="6:13" ht="17.25" customHeight="1">
      <c r="F540" s="5"/>
      <c r="G540" s="20"/>
      <c r="H540" s="5"/>
      <c r="J540" s="5" t="str">
        <f>IF(A540&lt;&gt;"",VLOOKUP(A540,Setting!A$11:B$50,2,FALSE),"")</f>
        <v/>
      </c>
      <c r="K540" s="20"/>
      <c r="L540" s="5" t="str">
        <f t="shared" si="57"/>
        <v/>
      </c>
      <c r="M540" t="str">
        <f t="shared" si="58"/>
        <v/>
      </c>
    </row>
    <row r="541" spans="6:13" ht="17.25" customHeight="1">
      <c r="F541" s="5"/>
      <c r="G541" s="20"/>
      <c r="H541" s="5"/>
      <c r="J541" s="5" t="str">
        <f>IF(A541&lt;&gt;"",VLOOKUP(A541,Setting!A$11:B$50,2,FALSE),"")</f>
        <v/>
      </c>
      <c r="K541" s="20"/>
      <c r="L541" s="5" t="str">
        <f t="shared" si="57"/>
        <v/>
      </c>
      <c r="M541" t="str">
        <f t="shared" si="58"/>
        <v/>
      </c>
    </row>
    <row r="542" spans="6:13" ht="17.25" customHeight="1">
      <c r="F542" s="5"/>
      <c r="G542" s="20"/>
      <c r="H542" s="5"/>
      <c r="J542" s="5" t="str">
        <f>IF(A542&lt;&gt;"",VLOOKUP(A542,Setting!A$11:B$50,2,FALSE),"")</f>
        <v/>
      </c>
      <c r="K542" s="20"/>
      <c r="L542" s="5" t="str">
        <f t="shared" si="57"/>
        <v/>
      </c>
      <c r="M542" t="str">
        <f t="shared" si="58"/>
        <v/>
      </c>
    </row>
    <row r="543" spans="6:13" ht="17.25" customHeight="1">
      <c r="F543" s="5"/>
      <c r="G543" s="20"/>
      <c r="H543" s="5"/>
      <c r="J543" s="5" t="str">
        <f>IF(A543&lt;&gt;"",VLOOKUP(A543,Setting!A$11:B$50,2,FALSE),"")</f>
        <v/>
      </c>
      <c r="K543" s="20"/>
      <c r="L543" s="5" t="str">
        <f t="shared" si="57"/>
        <v/>
      </c>
      <c r="M543" t="str">
        <f t="shared" si="58"/>
        <v/>
      </c>
    </row>
    <row r="544" spans="6:13" ht="17.25" customHeight="1">
      <c r="F544" s="5"/>
      <c r="G544" s="20"/>
      <c r="H544" s="5"/>
      <c r="J544" s="5" t="str">
        <f>IF(A544&lt;&gt;"",VLOOKUP(A544,Setting!A$11:B$50,2,FALSE),"")</f>
        <v/>
      </c>
      <c r="K544" s="20"/>
      <c r="L544" s="5" t="str">
        <f t="shared" si="57"/>
        <v/>
      </c>
      <c r="M544" t="str">
        <f t="shared" si="58"/>
        <v/>
      </c>
    </row>
    <row r="545" spans="6:13" ht="17.25" customHeight="1">
      <c r="F545" s="5"/>
      <c r="G545" s="20"/>
      <c r="H545" s="5"/>
      <c r="J545" s="5" t="str">
        <f>IF(A545&lt;&gt;"",VLOOKUP(A545,Setting!A$11:B$50,2,FALSE),"")</f>
        <v/>
      </c>
      <c r="K545" s="20"/>
      <c r="L545" s="5" t="str">
        <f t="shared" si="57"/>
        <v/>
      </c>
      <c r="M545" t="str">
        <f t="shared" si="58"/>
        <v/>
      </c>
    </row>
    <row r="546" spans="6:13" ht="17.25" customHeight="1">
      <c r="F546" s="5"/>
      <c r="G546" s="20"/>
      <c r="H546" s="5"/>
      <c r="J546" s="5" t="str">
        <f>IF(A546&lt;&gt;"",VLOOKUP(A546,Setting!A$11:B$50,2,FALSE),"")</f>
        <v/>
      </c>
      <c r="K546" s="20"/>
      <c r="L546" s="5" t="str">
        <f t="shared" si="57"/>
        <v/>
      </c>
      <c r="M546" t="str">
        <f t="shared" si="58"/>
        <v/>
      </c>
    </row>
    <row r="547" spans="6:13" ht="17.25" customHeight="1">
      <c r="F547" s="5"/>
      <c r="G547" s="20"/>
      <c r="H547" s="5"/>
      <c r="J547" s="5" t="str">
        <f>IF(A547&lt;&gt;"",VLOOKUP(A547,Setting!A$11:B$50,2,FALSE),"")</f>
        <v/>
      </c>
      <c r="K547" s="20"/>
      <c r="L547" s="5" t="str">
        <f t="shared" si="57"/>
        <v/>
      </c>
      <c r="M547" t="str">
        <f t="shared" si="58"/>
        <v/>
      </c>
    </row>
    <row r="548" spans="6:13" ht="17.25" customHeight="1">
      <c r="F548" s="5"/>
      <c r="G548" s="20"/>
      <c r="H548" s="5"/>
      <c r="J548" s="5" t="str">
        <f>IF(A548&lt;&gt;"",VLOOKUP(A548,Setting!A$11:B$50,2,FALSE),"")</f>
        <v/>
      </c>
      <c r="K548" s="20"/>
      <c r="L548" s="5" t="str">
        <f t="shared" si="57"/>
        <v/>
      </c>
      <c r="M548" t="str">
        <f t="shared" si="58"/>
        <v/>
      </c>
    </row>
    <row r="549" spans="6:13" ht="17.25" customHeight="1">
      <c r="F549" s="5"/>
      <c r="G549" s="20"/>
      <c r="H549" s="5"/>
      <c r="J549" s="5" t="str">
        <f>IF(A549&lt;&gt;"",VLOOKUP(A549,Setting!A$11:B$50,2,FALSE),"")</f>
        <v/>
      </c>
      <c r="K549" s="20"/>
      <c r="L549" s="5" t="str">
        <f t="shared" si="57"/>
        <v/>
      </c>
      <c r="M549" t="str">
        <f t="shared" si="58"/>
        <v/>
      </c>
    </row>
    <row r="550" spans="6:13" ht="17.25" customHeight="1">
      <c r="F550" s="5"/>
      <c r="G550" s="20"/>
      <c r="H550" s="5"/>
      <c r="J550" s="5" t="str">
        <f>IF(A550&lt;&gt;"",VLOOKUP(A550,Setting!A$11:B$50,2,FALSE),"")</f>
        <v/>
      </c>
      <c r="K550" s="20"/>
      <c r="L550" s="5" t="str">
        <f t="shared" si="57"/>
        <v/>
      </c>
      <c r="M550" t="str">
        <f t="shared" si="58"/>
        <v/>
      </c>
    </row>
    <row r="551" spans="6:13" ht="17.25" customHeight="1">
      <c r="F551" s="5"/>
      <c r="G551" s="20"/>
      <c r="H551" s="5"/>
      <c r="J551" s="5" t="str">
        <f>IF(A551&lt;&gt;"",VLOOKUP(A551,Setting!A$11:B$50,2,FALSE),"")</f>
        <v/>
      </c>
      <c r="K551" s="20"/>
      <c r="L551" s="5" t="str">
        <f t="shared" si="57"/>
        <v/>
      </c>
      <c r="M551" t="str">
        <f t="shared" si="58"/>
        <v/>
      </c>
    </row>
    <row r="552" spans="6:13" ht="17.25" customHeight="1">
      <c r="F552" s="5"/>
      <c r="G552" s="20"/>
      <c r="H552" s="5"/>
      <c r="J552" s="5" t="str">
        <f>IF(A552&lt;&gt;"",VLOOKUP(A552,Setting!A$11:B$50,2,FALSE),"")</f>
        <v/>
      </c>
      <c r="K552" s="20"/>
      <c r="L552" s="5" t="str">
        <f t="shared" si="57"/>
        <v/>
      </c>
      <c r="M552" t="str">
        <f t="shared" si="58"/>
        <v/>
      </c>
    </row>
    <row r="553" spans="6:13" ht="17.25" customHeight="1">
      <c r="F553" s="5"/>
      <c r="G553" s="20"/>
      <c r="H553" s="5"/>
      <c r="J553" s="5" t="str">
        <f>IF(A553&lt;&gt;"",VLOOKUP(A553,Setting!A$11:B$50,2,FALSE),"")</f>
        <v/>
      </c>
      <c r="K553" s="20"/>
      <c r="L553" s="5" t="str">
        <f t="shared" si="57"/>
        <v/>
      </c>
      <c r="M553" t="str">
        <f t="shared" si="58"/>
        <v/>
      </c>
    </row>
    <row r="554" spans="6:13" ht="17.25" customHeight="1">
      <c r="F554" s="5"/>
      <c r="G554" s="20"/>
      <c r="H554" s="5"/>
      <c r="J554" s="5" t="str">
        <f>IF(A554&lt;&gt;"",VLOOKUP(A554,Setting!A$11:B$50,2,FALSE),"")</f>
        <v/>
      </c>
      <c r="K554" s="20"/>
      <c r="L554" s="5" t="str">
        <f t="shared" si="57"/>
        <v/>
      </c>
      <c r="M554" t="str">
        <f t="shared" si="58"/>
        <v/>
      </c>
    </row>
    <row r="555" spans="6:13" ht="17.25" customHeight="1">
      <c r="F555" s="5"/>
      <c r="G555" s="20"/>
      <c r="H555" s="5"/>
      <c r="J555" s="5" t="str">
        <f>IF(A555&lt;&gt;"",VLOOKUP(A555,Setting!A$11:B$50,2,FALSE),"")</f>
        <v/>
      </c>
      <c r="K555" s="20"/>
      <c r="L555" s="5" t="str">
        <f t="shared" si="57"/>
        <v/>
      </c>
      <c r="M555" t="str">
        <f t="shared" si="58"/>
        <v/>
      </c>
    </row>
    <row r="556" spans="6:13" ht="17.25" customHeight="1">
      <c r="F556" s="5"/>
      <c r="G556" s="20"/>
      <c r="H556" s="5"/>
      <c r="J556" s="5" t="str">
        <f>IF(A556&lt;&gt;"",VLOOKUP(A556,Setting!A$11:B$50,2,FALSE),"")</f>
        <v/>
      </c>
      <c r="K556" s="20"/>
      <c r="L556" s="5" t="str">
        <f t="shared" si="57"/>
        <v/>
      </c>
      <c r="M556" t="str">
        <f t="shared" si="58"/>
        <v/>
      </c>
    </row>
    <row r="557" spans="6:13" ht="17.25" customHeight="1">
      <c r="F557" s="5"/>
      <c r="G557" s="20"/>
      <c r="H557" s="5"/>
      <c r="J557" s="5" t="str">
        <f>IF(A557&lt;&gt;"",VLOOKUP(A557,Setting!A$11:B$50,2,FALSE),"")</f>
        <v/>
      </c>
      <c r="K557" s="20"/>
      <c r="L557" s="5" t="str">
        <f t="shared" si="57"/>
        <v/>
      </c>
      <c r="M557" t="str">
        <f t="shared" si="58"/>
        <v/>
      </c>
    </row>
    <row r="558" spans="6:13" ht="17.25" customHeight="1">
      <c r="F558" s="5"/>
      <c r="G558" s="20"/>
      <c r="H558" s="5"/>
      <c r="J558" s="5" t="str">
        <f>IF(A558&lt;&gt;"",VLOOKUP(A558,Setting!A$11:B$50,2,FALSE),"")</f>
        <v/>
      </c>
      <c r="K558" s="20"/>
      <c r="L558" s="5" t="str">
        <f t="shared" si="57"/>
        <v/>
      </c>
      <c r="M558" t="str">
        <f t="shared" si="58"/>
        <v/>
      </c>
    </row>
    <row r="559" spans="6:13" ht="17.25" customHeight="1">
      <c r="F559" s="5"/>
      <c r="G559" s="20"/>
      <c r="H559" s="5"/>
      <c r="J559" s="5" t="str">
        <f>IF(A559&lt;&gt;"",VLOOKUP(A559,Setting!A$11:B$50,2,FALSE),"")</f>
        <v/>
      </c>
      <c r="K559" s="20"/>
      <c r="L559" s="5" t="str">
        <f t="shared" si="57"/>
        <v/>
      </c>
      <c r="M559" t="str">
        <f t="shared" si="58"/>
        <v/>
      </c>
    </row>
    <row r="560" spans="6:13" ht="17.25" customHeight="1">
      <c r="F560" s="5"/>
      <c r="G560" s="20"/>
      <c r="H560" s="5"/>
      <c r="J560" s="5" t="str">
        <f>IF(A560&lt;&gt;"",VLOOKUP(A560,Setting!A$11:B$50,2,FALSE),"")</f>
        <v/>
      </c>
      <c r="K560" s="20"/>
      <c r="L560" s="5" t="str">
        <f t="shared" si="57"/>
        <v/>
      </c>
      <c r="M560" t="str">
        <f t="shared" si="58"/>
        <v/>
      </c>
    </row>
    <row r="561" spans="6:13" ht="17.25" customHeight="1">
      <c r="F561" s="5"/>
      <c r="G561" s="20"/>
      <c r="H561" s="5"/>
      <c r="J561" s="5" t="str">
        <f>IF(A561&lt;&gt;"",VLOOKUP(A561,Setting!A$11:B$50,2,FALSE),"")</f>
        <v/>
      </c>
      <c r="K561" s="20"/>
      <c r="L561" s="5" t="str">
        <f t="shared" si="57"/>
        <v/>
      </c>
      <c r="M561" t="str">
        <f t="shared" si="58"/>
        <v/>
      </c>
    </row>
    <row r="562" spans="6:13" ht="17.25" customHeight="1">
      <c r="F562" s="5"/>
      <c r="G562" s="20"/>
      <c r="H562" s="5"/>
      <c r="J562" s="5" t="str">
        <f>IF(A562&lt;&gt;"",VLOOKUP(A562,Setting!A$11:B$50,2,FALSE),"")</f>
        <v/>
      </c>
      <c r="K562" s="20"/>
      <c r="L562" s="5" t="str">
        <f t="shared" si="57"/>
        <v/>
      </c>
      <c r="M562" t="str">
        <f t="shared" si="58"/>
        <v/>
      </c>
    </row>
    <row r="563" spans="6:13" ht="17.25" customHeight="1">
      <c r="F563" s="5"/>
      <c r="G563" s="20"/>
      <c r="H563" s="5"/>
      <c r="J563" s="5" t="str">
        <f>IF(A563&lt;&gt;"",VLOOKUP(A563,Setting!A$11:B$50,2,FALSE),"")</f>
        <v/>
      </c>
      <c r="K563" s="20"/>
      <c r="L563" s="5" t="str">
        <f t="shared" si="57"/>
        <v/>
      </c>
      <c r="M563" t="str">
        <f t="shared" si="58"/>
        <v/>
      </c>
    </row>
    <row r="564" spans="6:13" ht="17.25" customHeight="1">
      <c r="F564" s="5"/>
      <c r="G564" s="20"/>
      <c r="H564" s="5"/>
      <c r="J564" s="5" t="str">
        <f>IF(A564&lt;&gt;"",VLOOKUP(A564,Setting!A$11:B$50,2,FALSE),"")</f>
        <v/>
      </c>
      <c r="K564" s="20"/>
      <c r="L564" s="5" t="str">
        <f t="shared" si="57"/>
        <v/>
      </c>
      <c r="M564" t="str">
        <f t="shared" si="58"/>
        <v/>
      </c>
    </row>
    <row r="565" spans="6:13" ht="17.25" customHeight="1">
      <c r="F565" s="5"/>
      <c r="G565" s="20"/>
      <c r="H565" s="5"/>
      <c r="J565" s="5" t="str">
        <f>IF(A565&lt;&gt;"",VLOOKUP(A565,Setting!A$11:B$50,2,FALSE),"")</f>
        <v/>
      </c>
      <c r="K565" s="20"/>
      <c r="L565" s="5" t="str">
        <f t="shared" si="57"/>
        <v/>
      </c>
      <c r="M565" t="str">
        <f t="shared" si="58"/>
        <v/>
      </c>
    </row>
    <row r="566" spans="6:13" ht="17.25" customHeight="1">
      <c r="F566" s="5"/>
      <c r="G566" s="20"/>
      <c r="H566" s="5"/>
      <c r="J566" s="5" t="str">
        <f>IF(A566&lt;&gt;"",VLOOKUP(A566,Setting!A$11:B$50,2,FALSE),"")</f>
        <v/>
      </c>
      <c r="K566" s="20"/>
      <c r="L566" s="5" t="str">
        <f t="shared" si="57"/>
        <v/>
      </c>
      <c r="M566" t="str">
        <f t="shared" si="58"/>
        <v/>
      </c>
    </row>
    <row r="567" spans="6:13" ht="17.25" customHeight="1">
      <c r="F567" s="5"/>
      <c r="G567" s="20"/>
      <c r="H567" s="5"/>
      <c r="J567" s="5" t="str">
        <f>IF(A567&lt;&gt;"",VLOOKUP(A567,Setting!A$11:B$50,2,FALSE),"")</f>
        <v/>
      </c>
      <c r="K567" s="20"/>
      <c r="L567" s="5" t="str">
        <f t="shared" si="57"/>
        <v/>
      </c>
      <c r="M567" t="str">
        <f t="shared" si="58"/>
        <v/>
      </c>
    </row>
    <row r="568" spans="6:13" ht="17.25" customHeight="1">
      <c r="F568" s="5"/>
      <c r="G568" s="20"/>
      <c r="H568" s="5"/>
      <c r="J568" s="5" t="str">
        <f>IF(A568&lt;&gt;"",VLOOKUP(A568,Setting!A$11:B$50,2,FALSE),"")</f>
        <v/>
      </c>
      <c r="K568" s="20"/>
      <c r="L568" s="5" t="str">
        <f t="shared" si="57"/>
        <v/>
      </c>
      <c r="M568" t="str">
        <f t="shared" si="58"/>
        <v/>
      </c>
    </row>
    <row r="569" spans="6:13" ht="17.25" customHeight="1">
      <c r="F569" s="5"/>
      <c r="G569" s="20"/>
      <c r="H569" s="5"/>
      <c r="J569" s="5" t="str">
        <f>IF(A569&lt;&gt;"",VLOOKUP(A569,Setting!A$11:B$50,2,FALSE),"")</f>
        <v/>
      </c>
      <c r="K569" s="20"/>
      <c r="L569" s="5" t="str">
        <f t="shared" si="57"/>
        <v/>
      </c>
      <c r="M569" t="str">
        <f t="shared" si="58"/>
        <v/>
      </c>
    </row>
    <row r="570" spans="6:13" ht="17.25" customHeight="1">
      <c r="F570" s="5"/>
      <c r="G570" s="20"/>
      <c r="H570" s="5"/>
      <c r="J570" s="5" t="str">
        <f>IF(A570&lt;&gt;"",VLOOKUP(A570,Setting!A$11:B$50,2,FALSE),"")</f>
        <v/>
      </c>
      <c r="K570" s="20"/>
      <c r="L570" s="5" t="str">
        <f t="shared" si="57"/>
        <v/>
      </c>
      <c r="M570" t="str">
        <f t="shared" si="58"/>
        <v/>
      </c>
    </row>
    <row r="571" spans="6:13" ht="17.25" customHeight="1">
      <c r="F571" s="5"/>
      <c r="G571" s="20"/>
      <c r="H571" s="5"/>
      <c r="J571" s="5" t="str">
        <f>IF(A571&lt;&gt;"",VLOOKUP(A571,Setting!A$11:B$50,2,FALSE),"")</f>
        <v/>
      </c>
      <c r="K571" s="20"/>
      <c r="L571" s="5" t="str">
        <f t="shared" ref="L571:L634" si="59">IF(D571&lt;&gt;"",TEXT(D571,"0.0%"),"")</f>
        <v/>
      </c>
      <c r="M571" t="str">
        <f t="shared" ref="M571:M634" si="60">IF(J571&lt;&gt;"",IF(ISERROR(K571)=FALSE,J571&amp;":"&amp;K571&amp;" ("&amp;L571&amp;")","Error"),"")</f>
        <v/>
      </c>
    </row>
    <row r="572" spans="6:13" ht="17.25" customHeight="1">
      <c r="F572" s="5"/>
      <c r="G572" s="20"/>
      <c r="H572" s="5"/>
      <c r="J572" s="5" t="str">
        <f>IF(A572&lt;&gt;"",VLOOKUP(A572,Setting!A$11:B$50,2,FALSE),"")</f>
        <v/>
      </c>
      <c r="K572" s="20"/>
      <c r="L572" s="5" t="str">
        <f t="shared" si="59"/>
        <v/>
      </c>
      <c r="M572" t="str">
        <f t="shared" si="60"/>
        <v/>
      </c>
    </row>
    <row r="573" spans="6:13" ht="17.25" customHeight="1">
      <c r="F573" s="5"/>
      <c r="G573" s="20"/>
      <c r="H573" s="5"/>
      <c r="J573" s="5" t="str">
        <f>IF(A573&lt;&gt;"",VLOOKUP(A573,Setting!A$11:B$50,2,FALSE),"")</f>
        <v/>
      </c>
      <c r="K573" s="20"/>
      <c r="L573" s="5" t="str">
        <f t="shared" si="59"/>
        <v/>
      </c>
      <c r="M573" t="str">
        <f t="shared" si="60"/>
        <v/>
      </c>
    </row>
    <row r="574" spans="6:13" ht="17.25" customHeight="1">
      <c r="F574" s="5"/>
      <c r="G574" s="20"/>
      <c r="H574" s="5"/>
      <c r="J574" s="5" t="str">
        <f>IF(A574&lt;&gt;"",VLOOKUP(A574,Setting!A$11:B$50,2,FALSE),"")</f>
        <v/>
      </c>
      <c r="K574" s="20"/>
      <c r="L574" s="5" t="str">
        <f t="shared" si="59"/>
        <v/>
      </c>
      <c r="M574" t="str">
        <f t="shared" si="60"/>
        <v/>
      </c>
    </row>
    <row r="575" spans="6:13" ht="17.25" customHeight="1">
      <c r="F575" s="5"/>
      <c r="G575" s="20"/>
      <c r="H575" s="5"/>
      <c r="J575" s="5" t="str">
        <f>IF(A575&lt;&gt;"",VLOOKUP(A575,Setting!A$11:B$50,2,FALSE),"")</f>
        <v/>
      </c>
      <c r="K575" s="20"/>
      <c r="L575" s="5" t="str">
        <f t="shared" si="59"/>
        <v/>
      </c>
      <c r="M575" t="str">
        <f t="shared" si="60"/>
        <v/>
      </c>
    </row>
    <row r="576" spans="6:13" ht="17.25" customHeight="1">
      <c r="F576" s="5"/>
      <c r="G576" s="20"/>
      <c r="H576" s="5"/>
      <c r="J576" s="5" t="str">
        <f>IF(A576&lt;&gt;"",VLOOKUP(A576,Setting!A$11:B$50,2,FALSE),"")</f>
        <v/>
      </c>
      <c r="K576" s="20"/>
      <c r="L576" s="5" t="str">
        <f t="shared" si="59"/>
        <v/>
      </c>
      <c r="M576" t="str">
        <f t="shared" si="60"/>
        <v/>
      </c>
    </row>
    <row r="577" spans="6:13" ht="17.25" customHeight="1">
      <c r="F577" s="5"/>
      <c r="G577" s="20"/>
      <c r="H577" s="5"/>
      <c r="J577" s="5" t="str">
        <f>IF(A577&lt;&gt;"",VLOOKUP(A577,Setting!A$11:B$50,2,FALSE),"")</f>
        <v/>
      </c>
      <c r="K577" s="20"/>
      <c r="L577" s="5" t="str">
        <f t="shared" si="59"/>
        <v/>
      </c>
      <c r="M577" t="str">
        <f t="shared" si="60"/>
        <v/>
      </c>
    </row>
    <row r="578" spans="6:13" ht="17.25" customHeight="1">
      <c r="F578" s="5"/>
      <c r="G578" s="20"/>
      <c r="H578" s="5"/>
      <c r="J578" s="5" t="str">
        <f>IF(A578&lt;&gt;"",VLOOKUP(A578,Setting!A$11:B$50,2,FALSE),"")</f>
        <v/>
      </c>
      <c r="K578" s="20"/>
      <c r="L578" s="5" t="str">
        <f t="shared" si="59"/>
        <v/>
      </c>
      <c r="M578" t="str">
        <f t="shared" si="60"/>
        <v/>
      </c>
    </row>
    <row r="579" spans="6:13" ht="17.25" customHeight="1">
      <c r="F579" s="5"/>
      <c r="G579" s="20"/>
      <c r="H579" s="5"/>
      <c r="J579" s="5" t="str">
        <f>IF(A579&lt;&gt;"",VLOOKUP(A579,Setting!A$11:B$50,2,FALSE),"")</f>
        <v/>
      </c>
      <c r="K579" s="20"/>
      <c r="L579" s="5" t="str">
        <f t="shared" si="59"/>
        <v/>
      </c>
      <c r="M579" t="str">
        <f t="shared" si="60"/>
        <v/>
      </c>
    </row>
    <row r="580" spans="6:13" ht="17.25" customHeight="1">
      <c r="F580" s="5"/>
      <c r="G580" s="20"/>
      <c r="H580" s="5"/>
      <c r="J580" s="5" t="str">
        <f>IF(A580&lt;&gt;"",VLOOKUP(A580,Setting!A$11:B$50,2,FALSE),"")</f>
        <v/>
      </c>
      <c r="K580" s="20"/>
      <c r="L580" s="5" t="str">
        <f t="shared" si="59"/>
        <v/>
      </c>
      <c r="M580" t="str">
        <f t="shared" si="60"/>
        <v/>
      </c>
    </row>
    <row r="581" spans="6:13" ht="17.25" customHeight="1">
      <c r="F581" s="5"/>
      <c r="G581" s="20"/>
      <c r="H581" s="5"/>
      <c r="J581" s="5" t="str">
        <f>IF(A581&lt;&gt;"",VLOOKUP(A581,Setting!A$11:B$50,2,FALSE),"")</f>
        <v/>
      </c>
      <c r="K581" s="20"/>
      <c r="L581" s="5" t="str">
        <f t="shared" si="59"/>
        <v/>
      </c>
      <c r="M581" t="str">
        <f t="shared" si="60"/>
        <v/>
      </c>
    </row>
    <row r="582" spans="6:13" ht="17.25" customHeight="1">
      <c r="F582" s="5"/>
      <c r="G582" s="20"/>
      <c r="H582" s="5"/>
      <c r="J582" s="5" t="str">
        <f>IF(A582&lt;&gt;"",VLOOKUP(A582,Setting!A$11:B$50,2,FALSE),"")</f>
        <v/>
      </c>
      <c r="K582" s="20"/>
      <c r="L582" s="5" t="str">
        <f t="shared" si="59"/>
        <v/>
      </c>
      <c r="M582" t="str">
        <f t="shared" si="60"/>
        <v/>
      </c>
    </row>
    <row r="583" spans="6:13" ht="17.25" customHeight="1">
      <c r="F583" s="5"/>
      <c r="G583" s="20"/>
      <c r="H583" s="5"/>
      <c r="J583" s="5" t="str">
        <f>IF(A583&lt;&gt;"",VLOOKUP(A583,Setting!A$11:B$50,2,FALSE),"")</f>
        <v/>
      </c>
      <c r="K583" s="20"/>
      <c r="L583" s="5" t="str">
        <f t="shared" si="59"/>
        <v/>
      </c>
      <c r="M583" t="str">
        <f t="shared" si="60"/>
        <v/>
      </c>
    </row>
    <row r="584" spans="6:13" ht="17.25" customHeight="1">
      <c r="F584" s="5"/>
      <c r="G584" s="20"/>
      <c r="H584" s="5"/>
      <c r="J584" s="5" t="str">
        <f>IF(A584&lt;&gt;"",VLOOKUP(A584,Setting!A$11:B$50,2,FALSE),"")</f>
        <v/>
      </c>
      <c r="K584" s="20"/>
      <c r="L584" s="5" t="str">
        <f t="shared" si="59"/>
        <v/>
      </c>
      <c r="M584" t="str">
        <f t="shared" si="60"/>
        <v/>
      </c>
    </row>
    <row r="585" spans="6:13" ht="17.25" customHeight="1">
      <c r="F585" s="5"/>
      <c r="G585" s="20"/>
      <c r="H585" s="5"/>
      <c r="J585" s="5" t="str">
        <f>IF(A585&lt;&gt;"",VLOOKUP(A585,Setting!A$11:B$50,2,FALSE),"")</f>
        <v/>
      </c>
      <c r="K585" s="20"/>
      <c r="L585" s="5" t="str">
        <f t="shared" si="59"/>
        <v/>
      </c>
      <c r="M585" t="str">
        <f t="shared" si="60"/>
        <v/>
      </c>
    </row>
    <row r="586" spans="6:13" ht="17.25" customHeight="1">
      <c r="F586" s="5"/>
      <c r="G586" s="20"/>
      <c r="H586" s="5"/>
      <c r="J586" s="5" t="str">
        <f>IF(A586&lt;&gt;"",VLOOKUP(A586,Setting!A$11:B$50,2,FALSE),"")</f>
        <v/>
      </c>
      <c r="K586" s="20"/>
      <c r="L586" s="5" t="str">
        <f t="shared" si="59"/>
        <v/>
      </c>
      <c r="M586" t="str">
        <f t="shared" si="60"/>
        <v/>
      </c>
    </row>
    <row r="587" spans="6:13" ht="17.25" customHeight="1">
      <c r="F587" s="5"/>
      <c r="G587" s="20"/>
      <c r="H587" s="5"/>
      <c r="J587" s="5" t="str">
        <f>IF(A587&lt;&gt;"",VLOOKUP(A587,Setting!A$11:B$50,2,FALSE),"")</f>
        <v/>
      </c>
      <c r="K587" s="20"/>
      <c r="L587" s="5" t="str">
        <f t="shared" si="59"/>
        <v/>
      </c>
      <c r="M587" t="str">
        <f t="shared" si="60"/>
        <v/>
      </c>
    </row>
    <row r="588" spans="6:13" ht="17.25" customHeight="1">
      <c r="F588" s="5"/>
      <c r="G588" s="20"/>
      <c r="H588" s="5"/>
      <c r="J588" s="5" t="str">
        <f>IF(A588&lt;&gt;"",VLOOKUP(A588,Setting!A$11:B$50,2,FALSE),"")</f>
        <v/>
      </c>
      <c r="K588" s="20"/>
      <c r="L588" s="5" t="str">
        <f t="shared" si="59"/>
        <v/>
      </c>
      <c r="M588" t="str">
        <f t="shared" si="60"/>
        <v/>
      </c>
    </row>
    <row r="589" spans="6:13" ht="17.25" customHeight="1">
      <c r="F589" s="5"/>
      <c r="G589" s="20"/>
      <c r="H589" s="5"/>
      <c r="J589" s="5" t="str">
        <f>IF(A589&lt;&gt;"",VLOOKUP(A589,Setting!A$11:B$50,2,FALSE),"")</f>
        <v/>
      </c>
      <c r="K589" s="20"/>
      <c r="L589" s="5" t="str">
        <f t="shared" si="59"/>
        <v/>
      </c>
      <c r="M589" t="str">
        <f t="shared" si="60"/>
        <v/>
      </c>
    </row>
    <row r="590" spans="6:13" ht="17.25" customHeight="1">
      <c r="F590" s="5"/>
      <c r="G590" s="20"/>
      <c r="H590" s="5"/>
      <c r="J590" s="5" t="str">
        <f>IF(A590&lt;&gt;"",VLOOKUP(A590,Setting!A$11:B$50,2,FALSE),"")</f>
        <v/>
      </c>
      <c r="K590" s="20"/>
      <c r="L590" s="5" t="str">
        <f t="shared" si="59"/>
        <v/>
      </c>
      <c r="M590" t="str">
        <f t="shared" si="60"/>
        <v/>
      </c>
    </row>
    <row r="591" spans="6:13" ht="17.25" customHeight="1">
      <c r="F591" s="5"/>
      <c r="G591" s="20"/>
      <c r="H591" s="5"/>
      <c r="J591" s="5" t="str">
        <f>IF(A591&lt;&gt;"",VLOOKUP(A591,Setting!A$11:B$50,2,FALSE),"")</f>
        <v/>
      </c>
      <c r="K591" s="20"/>
      <c r="L591" s="5" t="str">
        <f t="shared" si="59"/>
        <v/>
      </c>
      <c r="M591" t="str">
        <f t="shared" si="60"/>
        <v/>
      </c>
    </row>
    <row r="592" spans="6:13" ht="17.25" customHeight="1">
      <c r="F592" s="5"/>
      <c r="G592" s="20"/>
      <c r="H592" s="5"/>
      <c r="J592" s="5" t="str">
        <f>IF(A592&lt;&gt;"",VLOOKUP(A592,Setting!A$11:B$50,2,FALSE),"")</f>
        <v/>
      </c>
      <c r="K592" s="20"/>
      <c r="L592" s="5" t="str">
        <f t="shared" si="59"/>
        <v/>
      </c>
      <c r="M592" t="str">
        <f t="shared" si="60"/>
        <v/>
      </c>
    </row>
    <row r="593" spans="6:13" ht="17.25" customHeight="1">
      <c r="F593" s="5"/>
      <c r="G593" s="20"/>
      <c r="H593" s="5"/>
      <c r="J593" s="5" t="str">
        <f>IF(A593&lt;&gt;"",VLOOKUP(A593,Setting!A$11:B$50,2,FALSE),"")</f>
        <v/>
      </c>
      <c r="K593" s="20"/>
      <c r="L593" s="5" t="str">
        <f t="shared" si="59"/>
        <v/>
      </c>
      <c r="M593" t="str">
        <f t="shared" si="60"/>
        <v/>
      </c>
    </row>
    <row r="594" spans="6:13" ht="17.25" customHeight="1">
      <c r="F594" s="5"/>
      <c r="G594" s="20"/>
      <c r="H594" s="5"/>
      <c r="J594" s="5" t="str">
        <f>IF(A594&lt;&gt;"",VLOOKUP(A594,Setting!A$11:B$50,2,FALSE),"")</f>
        <v/>
      </c>
      <c r="K594" s="20"/>
      <c r="L594" s="5" t="str">
        <f t="shared" si="59"/>
        <v/>
      </c>
      <c r="M594" t="str">
        <f t="shared" si="60"/>
        <v/>
      </c>
    </row>
    <row r="595" spans="6:13" ht="17.25" customHeight="1">
      <c r="F595" s="5"/>
      <c r="G595" s="20"/>
      <c r="H595" s="5"/>
      <c r="J595" s="5" t="str">
        <f>IF(A595&lt;&gt;"",VLOOKUP(A595,Setting!A$11:B$50,2,FALSE),"")</f>
        <v/>
      </c>
      <c r="K595" s="20"/>
      <c r="L595" s="5" t="str">
        <f t="shared" si="59"/>
        <v/>
      </c>
      <c r="M595" t="str">
        <f t="shared" si="60"/>
        <v/>
      </c>
    </row>
    <row r="596" spans="6:13" ht="17.25" customHeight="1">
      <c r="F596" s="5"/>
      <c r="G596" s="20"/>
      <c r="H596" s="5"/>
      <c r="J596" s="5" t="str">
        <f>IF(A596&lt;&gt;"",VLOOKUP(A596,Setting!A$11:B$50,2,FALSE),"")</f>
        <v/>
      </c>
      <c r="K596" s="20"/>
      <c r="L596" s="5" t="str">
        <f t="shared" si="59"/>
        <v/>
      </c>
      <c r="M596" t="str">
        <f t="shared" si="60"/>
        <v/>
      </c>
    </row>
    <row r="597" spans="6:13" ht="17.25" customHeight="1">
      <c r="F597" s="5"/>
      <c r="G597" s="20"/>
      <c r="H597" s="5"/>
      <c r="J597" s="5" t="str">
        <f>IF(A597&lt;&gt;"",VLOOKUP(A597,Setting!A$11:B$50,2,FALSE),"")</f>
        <v/>
      </c>
      <c r="K597" s="20"/>
      <c r="L597" s="5" t="str">
        <f t="shared" si="59"/>
        <v/>
      </c>
      <c r="M597" t="str">
        <f t="shared" si="60"/>
        <v/>
      </c>
    </row>
    <row r="598" spans="6:13" ht="17.25" customHeight="1">
      <c r="F598" s="5"/>
      <c r="G598" s="20"/>
      <c r="H598" s="5"/>
      <c r="J598" s="5" t="str">
        <f>IF(A598&lt;&gt;"",VLOOKUP(A598,Setting!A$11:B$50,2,FALSE),"")</f>
        <v/>
      </c>
      <c r="K598" s="20"/>
      <c r="L598" s="5" t="str">
        <f t="shared" si="59"/>
        <v/>
      </c>
      <c r="M598" t="str">
        <f t="shared" si="60"/>
        <v/>
      </c>
    </row>
    <row r="599" spans="6:13" ht="17.25" customHeight="1">
      <c r="F599" s="5"/>
      <c r="G599" s="20"/>
      <c r="H599" s="5"/>
      <c r="J599" s="5" t="str">
        <f>IF(A599&lt;&gt;"",VLOOKUP(A599,Setting!A$11:B$50,2,FALSE),"")</f>
        <v/>
      </c>
      <c r="K599" s="20"/>
      <c r="L599" s="5" t="str">
        <f t="shared" si="59"/>
        <v/>
      </c>
      <c r="M599" t="str">
        <f t="shared" si="60"/>
        <v/>
      </c>
    </row>
    <row r="600" spans="6:13" ht="17.25" customHeight="1">
      <c r="F600" s="5"/>
      <c r="G600" s="20"/>
      <c r="H600" s="5"/>
      <c r="J600" s="5" t="str">
        <f>IF(A600&lt;&gt;"",VLOOKUP(A600,Setting!A$11:B$50,2,FALSE),"")</f>
        <v/>
      </c>
      <c r="K600" s="20"/>
      <c r="L600" s="5" t="str">
        <f t="shared" si="59"/>
        <v/>
      </c>
      <c r="M600" t="str">
        <f t="shared" si="60"/>
        <v/>
      </c>
    </row>
    <row r="601" spans="6:13" ht="17.25" customHeight="1">
      <c r="F601" s="5"/>
      <c r="G601" s="20"/>
      <c r="H601" s="5"/>
      <c r="J601" s="5" t="str">
        <f>IF(A601&lt;&gt;"",VLOOKUP(A601,Setting!A$11:B$50,2,FALSE),"")</f>
        <v/>
      </c>
      <c r="K601" s="20"/>
      <c r="L601" s="5" t="str">
        <f t="shared" si="59"/>
        <v/>
      </c>
      <c r="M601" t="str">
        <f t="shared" si="60"/>
        <v/>
      </c>
    </row>
    <row r="602" spans="6:13" ht="17.25" customHeight="1">
      <c r="F602" s="5"/>
      <c r="G602" s="20"/>
      <c r="H602" s="5"/>
      <c r="J602" s="5" t="str">
        <f>IF(A602&lt;&gt;"",VLOOKUP(A602,Setting!A$11:B$50,2,FALSE),"")</f>
        <v/>
      </c>
      <c r="K602" s="20"/>
      <c r="L602" s="5" t="str">
        <f t="shared" si="59"/>
        <v/>
      </c>
      <c r="M602" t="str">
        <f t="shared" si="60"/>
        <v/>
      </c>
    </row>
    <row r="603" spans="6:13" ht="17.25" customHeight="1">
      <c r="F603" s="5"/>
      <c r="G603" s="20"/>
      <c r="H603" s="5"/>
      <c r="J603" s="5" t="str">
        <f>IF(A603&lt;&gt;"",VLOOKUP(A603,Setting!A$11:B$50,2,FALSE),"")</f>
        <v/>
      </c>
      <c r="K603" s="20"/>
      <c r="L603" s="5" t="str">
        <f t="shared" si="59"/>
        <v/>
      </c>
      <c r="M603" t="str">
        <f t="shared" si="60"/>
        <v/>
      </c>
    </row>
    <row r="604" spans="6:13" ht="17.25" customHeight="1">
      <c r="F604" s="5"/>
      <c r="G604" s="20"/>
      <c r="H604" s="5"/>
      <c r="J604" s="5" t="str">
        <f>IF(A604&lt;&gt;"",VLOOKUP(A604,Setting!A$11:B$50,2,FALSE),"")</f>
        <v/>
      </c>
      <c r="K604" s="20"/>
      <c r="L604" s="5" t="str">
        <f t="shared" si="59"/>
        <v/>
      </c>
      <c r="M604" t="str">
        <f t="shared" si="60"/>
        <v/>
      </c>
    </row>
    <row r="605" spans="6:13" ht="17.25" customHeight="1">
      <c r="F605" s="5"/>
      <c r="G605" s="20"/>
      <c r="H605" s="5"/>
      <c r="J605" s="5" t="str">
        <f>IF(A605&lt;&gt;"",VLOOKUP(A605,Setting!A$11:B$50,2,FALSE),"")</f>
        <v/>
      </c>
      <c r="K605" s="20"/>
      <c r="L605" s="5" t="str">
        <f t="shared" si="59"/>
        <v/>
      </c>
      <c r="M605" t="str">
        <f t="shared" si="60"/>
        <v/>
      </c>
    </row>
    <row r="606" spans="6:13" ht="17.25" customHeight="1">
      <c r="F606" s="5"/>
      <c r="G606" s="20"/>
      <c r="H606" s="5"/>
      <c r="J606" s="5" t="str">
        <f>IF(A606&lt;&gt;"",VLOOKUP(A606,Setting!A$11:B$50,2,FALSE),"")</f>
        <v/>
      </c>
      <c r="K606" s="20"/>
      <c r="L606" s="5" t="str">
        <f t="shared" si="59"/>
        <v/>
      </c>
      <c r="M606" t="str">
        <f t="shared" si="60"/>
        <v/>
      </c>
    </row>
    <row r="607" spans="6:13" ht="17.25" customHeight="1">
      <c r="F607" s="5"/>
      <c r="G607" s="20"/>
      <c r="H607" s="5"/>
      <c r="J607" s="5" t="str">
        <f>IF(A607&lt;&gt;"",VLOOKUP(A607,Setting!A$11:B$50,2,FALSE),"")</f>
        <v/>
      </c>
      <c r="K607" s="20"/>
      <c r="L607" s="5" t="str">
        <f t="shared" si="59"/>
        <v/>
      </c>
      <c r="M607" t="str">
        <f t="shared" si="60"/>
        <v/>
      </c>
    </row>
    <row r="608" spans="6:13" ht="17.25" customHeight="1">
      <c r="F608" s="5"/>
      <c r="G608" s="20"/>
      <c r="H608" s="5"/>
      <c r="J608" s="5" t="str">
        <f>IF(A608&lt;&gt;"",VLOOKUP(A608,Setting!A$11:B$50,2,FALSE),"")</f>
        <v/>
      </c>
      <c r="K608" s="20"/>
      <c r="L608" s="5" t="str">
        <f t="shared" si="59"/>
        <v/>
      </c>
      <c r="M608" t="str">
        <f t="shared" si="60"/>
        <v/>
      </c>
    </row>
    <row r="609" spans="6:13" ht="17.25" customHeight="1">
      <c r="F609" s="5"/>
      <c r="G609" s="20"/>
      <c r="H609" s="5"/>
      <c r="J609" s="5" t="str">
        <f>IF(A609&lt;&gt;"",VLOOKUP(A609,Setting!A$11:B$50,2,FALSE),"")</f>
        <v/>
      </c>
      <c r="K609" s="20"/>
      <c r="L609" s="5" t="str">
        <f t="shared" si="59"/>
        <v/>
      </c>
      <c r="M609" t="str">
        <f t="shared" si="60"/>
        <v/>
      </c>
    </row>
    <row r="610" spans="6:13" ht="17.25" customHeight="1">
      <c r="F610" s="5"/>
      <c r="G610" s="20"/>
      <c r="H610" s="5"/>
      <c r="J610" s="5" t="str">
        <f>IF(A610&lt;&gt;"",VLOOKUP(A610,Setting!A$11:B$50,2,FALSE),"")</f>
        <v/>
      </c>
      <c r="K610" s="20"/>
      <c r="L610" s="5" t="str">
        <f t="shared" si="59"/>
        <v/>
      </c>
      <c r="M610" t="str">
        <f t="shared" si="60"/>
        <v/>
      </c>
    </row>
    <row r="611" spans="6:13" ht="17.25" customHeight="1">
      <c r="F611" s="5"/>
      <c r="G611" s="20"/>
      <c r="H611" s="5"/>
      <c r="J611" s="5" t="str">
        <f>IF(A611&lt;&gt;"",VLOOKUP(A611,Setting!A$11:B$50,2,FALSE),"")</f>
        <v/>
      </c>
      <c r="K611" s="20"/>
      <c r="L611" s="5" t="str">
        <f t="shared" si="59"/>
        <v/>
      </c>
      <c r="M611" t="str">
        <f t="shared" si="60"/>
        <v/>
      </c>
    </row>
    <row r="612" spans="6:13" ht="17.25" customHeight="1">
      <c r="F612" s="5"/>
      <c r="G612" s="20"/>
      <c r="H612" s="5"/>
      <c r="J612" s="5" t="str">
        <f>IF(A612&lt;&gt;"",VLOOKUP(A612,Setting!A$11:B$50,2,FALSE),"")</f>
        <v/>
      </c>
      <c r="K612" s="20"/>
      <c r="L612" s="5" t="str">
        <f t="shared" si="59"/>
        <v/>
      </c>
      <c r="M612" t="str">
        <f t="shared" si="60"/>
        <v/>
      </c>
    </row>
    <row r="613" spans="6:13" ht="17.25" customHeight="1">
      <c r="F613" s="5"/>
      <c r="G613" s="20"/>
      <c r="H613" s="5"/>
      <c r="J613" s="5" t="str">
        <f>IF(A613&lt;&gt;"",VLOOKUP(A613,Setting!A$11:B$50,2,FALSE),"")</f>
        <v/>
      </c>
      <c r="K613" s="20"/>
      <c r="L613" s="5" t="str">
        <f t="shared" si="59"/>
        <v/>
      </c>
      <c r="M613" t="str">
        <f t="shared" si="60"/>
        <v/>
      </c>
    </row>
    <row r="614" spans="6:13" ht="17.25" customHeight="1">
      <c r="F614" s="5"/>
      <c r="G614" s="20"/>
      <c r="H614" s="5"/>
      <c r="J614" s="5" t="str">
        <f>IF(A614&lt;&gt;"",VLOOKUP(A614,Setting!A$11:B$50,2,FALSE),"")</f>
        <v/>
      </c>
      <c r="K614" s="20"/>
      <c r="L614" s="5" t="str">
        <f t="shared" si="59"/>
        <v/>
      </c>
      <c r="M614" t="str">
        <f t="shared" si="60"/>
        <v/>
      </c>
    </row>
    <row r="615" spans="6:13" ht="17.25" customHeight="1">
      <c r="F615" s="5"/>
      <c r="G615" s="20"/>
      <c r="H615" s="5"/>
      <c r="J615" s="5" t="str">
        <f>IF(A615&lt;&gt;"",VLOOKUP(A615,Setting!A$11:B$50,2,FALSE),"")</f>
        <v/>
      </c>
      <c r="K615" s="20"/>
      <c r="L615" s="5" t="str">
        <f t="shared" si="59"/>
        <v/>
      </c>
      <c r="M615" t="str">
        <f t="shared" si="60"/>
        <v/>
      </c>
    </row>
    <row r="616" spans="6:13" ht="17.25" customHeight="1">
      <c r="F616" s="5"/>
      <c r="G616" s="20"/>
      <c r="H616" s="5"/>
      <c r="J616" s="5" t="str">
        <f>IF(A616&lt;&gt;"",VLOOKUP(A616,Setting!A$11:B$50,2,FALSE),"")</f>
        <v/>
      </c>
      <c r="K616" s="20"/>
      <c r="L616" s="5" t="str">
        <f t="shared" si="59"/>
        <v/>
      </c>
      <c r="M616" t="str">
        <f t="shared" si="60"/>
        <v/>
      </c>
    </row>
    <row r="617" spans="6:13" ht="17.25" customHeight="1">
      <c r="F617" s="5"/>
      <c r="G617" s="20"/>
      <c r="H617" s="5"/>
      <c r="J617" s="5" t="str">
        <f>IF(A617&lt;&gt;"",VLOOKUP(A617,Setting!A$11:B$50,2,FALSE),"")</f>
        <v/>
      </c>
      <c r="K617" s="20"/>
      <c r="L617" s="5" t="str">
        <f t="shared" si="59"/>
        <v/>
      </c>
      <c r="M617" t="str">
        <f t="shared" si="60"/>
        <v/>
      </c>
    </row>
    <row r="618" spans="6:13" ht="17.25" customHeight="1">
      <c r="F618" s="5"/>
      <c r="G618" s="20"/>
      <c r="H618" s="5"/>
      <c r="J618" s="5" t="str">
        <f>IF(A618&lt;&gt;"",VLOOKUP(A618,Setting!A$11:B$50,2,FALSE),"")</f>
        <v/>
      </c>
      <c r="K618" s="20"/>
      <c r="L618" s="5" t="str">
        <f t="shared" si="59"/>
        <v/>
      </c>
      <c r="M618" t="str">
        <f t="shared" si="60"/>
        <v/>
      </c>
    </row>
    <row r="619" spans="6:13" ht="17.25" customHeight="1">
      <c r="F619" s="5"/>
      <c r="G619" s="20"/>
      <c r="H619" s="5"/>
      <c r="J619" s="5" t="str">
        <f>IF(A619&lt;&gt;"",VLOOKUP(A619,Setting!A$11:B$50,2,FALSE),"")</f>
        <v/>
      </c>
      <c r="K619" s="20"/>
      <c r="L619" s="5" t="str">
        <f t="shared" si="59"/>
        <v/>
      </c>
      <c r="M619" t="str">
        <f t="shared" si="60"/>
        <v/>
      </c>
    </row>
    <row r="620" spans="6:13" ht="17.25" customHeight="1">
      <c r="F620" s="5"/>
      <c r="G620" s="20"/>
      <c r="H620" s="5"/>
      <c r="J620" s="5" t="str">
        <f>IF(A620&lt;&gt;"",VLOOKUP(A620,Setting!A$11:B$50,2,FALSE),"")</f>
        <v/>
      </c>
      <c r="K620" s="20"/>
      <c r="L620" s="5" t="str">
        <f t="shared" si="59"/>
        <v/>
      </c>
      <c r="M620" t="str">
        <f t="shared" si="60"/>
        <v/>
      </c>
    </row>
    <row r="621" spans="6:13" ht="17.25" customHeight="1">
      <c r="F621" s="5"/>
      <c r="G621" s="20"/>
      <c r="H621" s="5"/>
      <c r="J621" s="5" t="str">
        <f>IF(A621&lt;&gt;"",VLOOKUP(A621,Setting!A$11:B$50,2,FALSE),"")</f>
        <v/>
      </c>
      <c r="K621" s="20"/>
      <c r="L621" s="5" t="str">
        <f t="shared" si="59"/>
        <v/>
      </c>
      <c r="M621" t="str">
        <f t="shared" si="60"/>
        <v/>
      </c>
    </row>
    <row r="622" spans="6:13" ht="17.25" customHeight="1">
      <c r="F622" s="5"/>
      <c r="G622" s="20"/>
      <c r="H622" s="5"/>
      <c r="J622" s="5" t="str">
        <f>IF(A622&lt;&gt;"",VLOOKUP(A622,Setting!A$11:B$50,2,FALSE),"")</f>
        <v/>
      </c>
      <c r="K622" s="20"/>
      <c r="L622" s="5" t="str">
        <f t="shared" si="59"/>
        <v/>
      </c>
      <c r="M622" t="str">
        <f t="shared" si="60"/>
        <v/>
      </c>
    </row>
    <row r="623" spans="6:13" ht="17.25" customHeight="1">
      <c r="F623" s="5"/>
      <c r="G623" s="20"/>
      <c r="H623" s="5"/>
      <c r="J623" s="5" t="str">
        <f>IF(A623&lt;&gt;"",VLOOKUP(A623,Setting!A$11:B$50,2,FALSE),"")</f>
        <v/>
      </c>
      <c r="K623" s="20"/>
      <c r="L623" s="5" t="str">
        <f t="shared" si="59"/>
        <v/>
      </c>
      <c r="M623" t="str">
        <f t="shared" si="60"/>
        <v/>
      </c>
    </row>
    <row r="624" spans="6:13" ht="17.25" customHeight="1">
      <c r="F624" s="5"/>
      <c r="G624" s="20"/>
      <c r="H624" s="5"/>
      <c r="J624" s="5" t="str">
        <f>IF(A624&lt;&gt;"",VLOOKUP(A624,Setting!A$11:B$50,2,FALSE),"")</f>
        <v/>
      </c>
      <c r="K624" s="20"/>
      <c r="L624" s="5" t="str">
        <f t="shared" si="59"/>
        <v/>
      </c>
      <c r="M624" t="str">
        <f t="shared" si="60"/>
        <v/>
      </c>
    </row>
    <row r="625" spans="6:13" ht="17.25" customHeight="1">
      <c r="F625" s="5"/>
      <c r="G625" s="20"/>
      <c r="H625" s="5"/>
      <c r="J625" s="5" t="str">
        <f>IF(A625&lt;&gt;"",VLOOKUP(A625,Setting!A$11:B$50,2,FALSE),"")</f>
        <v/>
      </c>
      <c r="K625" s="20"/>
      <c r="L625" s="5" t="str">
        <f t="shared" si="59"/>
        <v/>
      </c>
      <c r="M625" t="str">
        <f t="shared" si="60"/>
        <v/>
      </c>
    </row>
    <row r="626" spans="6:13" ht="17.25" customHeight="1">
      <c r="F626" s="5"/>
      <c r="G626" s="20"/>
      <c r="H626" s="5"/>
      <c r="J626" s="5" t="str">
        <f>IF(A626&lt;&gt;"",VLOOKUP(A626,Setting!A$11:B$50,2,FALSE),"")</f>
        <v/>
      </c>
      <c r="K626" s="20"/>
      <c r="L626" s="5" t="str">
        <f t="shared" si="59"/>
        <v/>
      </c>
      <c r="M626" t="str">
        <f t="shared" si="60"/>
        <v/>
      </c>
    </row>
    <row r="627" spans="6:13" ht="17.25" customHeight="1">
      <c r="F627" s="5"/>
      <c r="G627" s="20"/>
      <c r="H627" s="5"/>
      <c r="J627" s="5" t="str">
        <f>IF(A627&lt;&gt;"",VLOOKUP(A627,Setting!A$11:B$50,2,FALSE),"")</f>
        <v/>
      </c>
      <c r="K627" s="20"/>
      <c r="L627" s="5" t="str">
        <f t="shared" si="59"/>
        <v/>
      </c>
      <c r="M627" t="str">
        <f t="shared" si="60"/>
        <v/>
      </c>
    </row>
    <row r="628" spans="6:13" ht="17.25" customHeight="1">
      <c r="F628" s="5"/>
      <c r="G628" s="20"/>
      <c r="H628" s="5"/>
      <c r="J628" s="5" t="str">
        <f>IF(A628&lt;&gt;"",VLOOKUP(A628,Setting!A$11:B$50,2,FALSE),"")</f>
        <v/>
      </c>
      <c r="K628" s="20"/>
      <c r="L628" s="5" t="str">
        <f t="shared" si="59"/>
        <v/>
      </c>
      <c r="M628" t="str">
        <f t="shared" si="60"/>
        <v/>
      </c>
    </row>
    <row r="629" spans="6:13" ht="17.25" customHeight="1">
      <c r="F629" s="5"/>
      <c r="G629" s="20"/>
      <c r="H629" s="5"/>
      <c r="J629" s="5" t="str">
        <f>IF(A629&lt;&gt;"",VLOOKUP(A629,Setting!A$11:B$50,2,FALSE),"")</f>
        <v/>
      </c>
      <c r="K629" s="20"/>
      <c r="L629" s="5" t="str">
        <f t="shared" si="59"/>
        <v/>
      </c>
      <c r="M629" t="str">
        <f t="shared" si="60"/>
        <v/>
      </c>
    </row>
    <row r="630" spans="6:13" ht="17.25" customHeight="1">
      <c r="F630" s="5"/>
      <c r="G630" s="20"/>
      <c r="H630" s="5"/>
      <c r="J630" s="5" t="str">
        <f>IF(A630&lt;&gt;"",VLOOKUP(A630,Setting!A$11:B$50,2,FALSE),"")</f>
        <v/>
      </c>
      <c r="K630" s="20"/>
      <c r="L630" s="5" t="str">
        <f t="shared" si="59"/>
        <v/>
      </c>
      <c r="M630" t="str">
        <f t="shared" si="60"/>
        <v/>
      </c>
    </row>
    <row r="631" spans="6:13" ht="17.25" customHeight="1">
      <c r="F631" s="5"/>
      <c r="G631" s="20"/>
      <c r="H631" s="5"/>
      <c r="J631" s="5" t="str">
        <f>IF(A631&lt;&gt;"",VLOOKUP(A631,Setting!A$11:B$50,2,FALSE),"")</f>
        <v/>
      </c>
      <c r="K631" s="20"/>
      <c r="L631" s="5" t="str">
        <f t="shared" si="59"/>
        <v/>
      </c>
      <c r="M631" t="str">
        <f t="shared" si="60"/>
        <v/>
      </c>
    </row>
    <row r="632" spans="6:13" ht="17.25" customHeight="1">
      <c r="F632" s="5"/>
      <c r="G632" s="20"/>
      <c r="H632" s="5"/>
      <c r="J632" s="5" t="str">
        <f>IF(A632&lt;&gt;"",VLOOKUP(A632,Setting!A$11:B$50,2,FALSE),"")</f>
        <v/>
      </c>
      <c r="K632" s="20"/>
      <c r="L632" s="5" t="str">
        <f t="shared" si="59"/>
        <v/>
      </c>
      <c r="M632" t="str">
        <f t="shared" si="60"/>
        <v/>
      </c>
    </row>
    <row r="633" spans="6:13" ht="17.25" customHeight="1">
      <c r="F633" s="5"/>
      <c r="G633" s="20"/>
      <c r="H633" s="5"/>
      <c r="J633" s="5" t="str">
        <f>IF(A633&lt;&gt;"",VLOOKUP(A633,Setting!A$11:B$50,2,FALSE),"")</f>
        <v/>
      </c>
      <c r="K633" s="20"/>
      <c r="L633" s="5" t="str">
        <f t="shared" si="59"/>
        <v/>
      </c>
      <c r="M633" t="str">
        <f t="shared" si="60"/>
        <v/>
      </c>
    </row>
    <row r="634" spans="6:13" ht="17.25" customHeight="1">
      <c r="F634" s="5"/>
      <c r="G634" s="20"/>
      <c r="H634" s="5"/>
      <c r="J634" s="5" t="str">
        <f>IF(A634&lt;&gt;"",VLOOKUP(A634,Setting!A$11:B$50,2,FALSE),"")</f>
        <v/>
      </c>
      <c r="K634" s="20"/>
      <c r="L634" s="5" t="str">
        <f t="shared" si="59"/>
        <v/>
      </c>
      <c r="M634" t="str">
        <f t="shared" si="60"/>
        <v/>
      </c>
    </row>
    <row r="635" spans="6:13" ht="17.25" customHeight="1">
      <c r="F635" s="5"/>
      <c r="G635" s="20"/>
      <c r="H635" s="5"/>
      <c r="J635" s="5" t="str">
        <f>IF(A635&lt;&gt;"",VLOOKUP(A635,Setting!A$11:B$50,2,FALSE),"")</f>
        <v/>
      </c>
      <c r="K635" s="20"/>
      <c r="L635" s="5" t="str">
        <f t="shared" ref="L635:L655" si="61">IF(D635&lt;&gt;"",TEXT(D635,"0.0%"),"")</f>
        <v/>
      </c>
      <c r="M635" t="str">
        <f t="shared" ref="M635:M655" si="62">IF(J635&lt;&gt;"",IF(ISERROR(K635)=FALSE,J635&amp;":"&amp;K635&amp;" ("&amp;L635&amp;")","Error"),"")</f>
        <v/>
      </c>
    </row>
    <row r="636" spans="6:13" ht="17.25" customHeight="1">
      <c r="F636" s="5"/>
      <c r="G636" s="20"/>
      <c r="H636" s="5"/>
      <c r="J636" s="5" t="str">
        <f>IF(A636&lt;&gt;"",VLOOKUP(A636,Setting!A$11:B$50,2,FALSE),"")</f>
        <v/>
      </c>
      <c r="K636" s="20"/>
      <c r="L636" s="5" t="str">
        <f t="shared" si="61"/>
        <v/>
      </c>
      <c r="M636" t="str">
        <f t="shared" si="62"/>
        <v/>
      </c>
    </row>
    <row r="637" spans="6:13" ht="17.25" customHeight="1">
      <c r="F637" s="5"/>
      <c r="G637" s="20"/>
      <c r="H637" s="5"/>
      <c r="J637" s="5" t="str">
        <f>IF(A637&lt;&gt;"",VLOOKUP(A637,Setting!A$11:B$50,2,FALSE),"")</f>
        <v/>
      </c>
      <c r="K637" s="20"/>
      <c r="L637" s="5" t="str">
        <f t="shared" si="61"/>
        <v/>
      </c>
      <c r="M637" t="str">
        <f t="shared" si="62"/>
        <v/>
      </c>
    </row>
    <row r="638" spans="6:13" ht="17.25" customHeight="1">
      <c r="F638" s="5"/>
      <c r="G638" s="20"/>
      <c r="H638" s="5"/>
      <c r="J638" s="5" t="str">
        <f>IF(A638&lt;&gt;"",VLOOKUP(A638,Setting!A$11:B$50,2,FALSE),"")</f>
        <v/>
      </c>
      <c r="K638" s="20"/>
      <c r="L638" s="5" t="str">
        <f t="shared" si="61"/>
        <v/>
      </c>
      <c r="M638" t="str">
        <f t="shared" si="62"/>
        <v/>
      </c>
    </row>
    <row r="639" spans="6:13" ht="17.25" customHeight="1">
      <c r="F639" s="5"/>
      <c r="G639" s="20"/>
      <c r="H639" s="5"/>
      <c r="J639" s="5" t="str">
        <f>IF(A639&lt;&gt;"",VLOOKUP(A639,Setting!A$11:B$50,2,FALSE),"")</f>
        <v/>
      </c>
      <c r="K639" s="20"/>
      <c r="L639" s="5" t="str">
        <f t="shared" si="61"/>
        <v/>
      </c>
      <c r="M639" t="str">
        <f t="shared" si="62"/>
        <v/>
      </c>
    </row>
    <row r="640" spans="6:13" ht="17.25" customHeight="1">
      <c r="F640" s="5"/>
      <c r="G640" s="20"/>
      <c r="H640" s="5"/>
      <c r="J640" s="5" t="str">
        <f>IF(A640&lt;&gt;"",VLOOKUP(A640,Setting!A$11:B$50,2,FALSE),"")</f>
        <v/>
      </c>
      <c r="K640" s="20"/>
      <c r="L640" s="5" t="str">
        <f t="shared" si="61"/>
        <v/>
      </c>
      <c r="M640" t="str">
        <f t="shared" si="62"/>
        <v/>
      </c>
    </row>
    <row r="641" spans="6:13" ht="17.25" customHeight="1">
      <c r="F641" s="5"/>
      <c r="G641" s="20"/>
      <c r="H641" s="5"/>
      <c r="J641" s="5" t="str">
        <f>IF(A641&lt;&gt;"",VLOOKUP(A641,Setting!A$11:B$50,2,FALSE),"")</f>
        <v/>
      </c>
      <c r="K641" s="20"/>
      <c r="L641" s="5" t="str">
        <f t="shared" si="61"/>
        <v/>
      </c>
      <c r="M641" t="str">
        <f t="shared" si="62"/>
        <v/>
      </c>
    </row>
    <row r="642" spans="6:13" ht="17.25" customHeight="1">
      <c r="F642" s="5"/>
      <c r="G642" s="20"/>
      <c r="H642" s="5"/>
      <c r="J642" s="5" t="str">
        <f>IF(A642&lt;&gt;"",VLOOKUP(A642,Setting!A$11:B$50,2,FALSE),"")</f>
        <v/>
      </c>
      <c r="K642" s="20"/>
      <c r="L642" s="5" t="str">
        <f t="shared" si="61"/>
        <v/>
      </c>
      <c r="M642" t="str">
        <f t="shared" si="62"/>
        <v/>
      </c>
    </row>
    <row r="643" spans="6:13" ht="17.25" customHeight="1">
      <c r="F643" s="5"/>
      <c r="G643" s="20"/>
      <c r="H643" s="5"/>
      <c r="J643" s="5" t="str">
        <f>IF(A643&lt;&gt;"",VLOOKUP(A643,Setting!A$11:B$50,2,FALSE),"")</f>
        <v/>
      </c>
      <c r="K643" s="20"/>
      <c r="L643" s="5" t="str">
        <f t="shared" si="61"/>
        <v/>
      </c>
      <c r="M643" t="str">
        <f t="shared" si="62"/>
        <v/>
      </c>
    </row>
    <row r="644" spans="6:13" ht="17.25" customHeight="1">
      <c r="F644" s="5"/>
      <c r="G644" s="20"/>
      <c r="H644" s="5"/>
      <c r="J644" s="5" t="str">
        <f>IF(A644&lt;&gt;"",VLOOKUP(A644,Setting!A$11:B$50,2,FALSE),"")</f>
        <v/>
      </c>
      <c r="K644" s="20"/>
      <c r="L644" s="5" t="str">
        <f t="shared" si="61"/>
        <v/>
      </c>
      <c r="M644" t="str">
        <f t="shared" si="62"/>
        <v/>
      </c>
    </row>
    <row r="645" spans="6:13" ht="17.25" customHeight="1">
      <c r="F645" s="5"/>
      <c r="G645" s="20"/>
      <c r="H645" s="5"/>
      <c r="J645" s="5" t="str">
        <f>IF(A645&lt;&gt;"",VLOOKUP(A645,Setting!A$11:B$50,2,FALSE),"")</f>
        <v/>
      </c>
      <c r="K645" s="20"/>
      <c r="L645" s="5" t="str">
        <f t="shared" si="61"/>
        <v/>
      </c>
      <c r="M645" t="str">
        <f t="shared" si="62"/>
        <v/>
      </c>
    </row>
    <row r="646" spans="6:13" ht="17.25" customHeight="1">
      <c r="F646" s="5"/>
      <c r="G646" s="20"/>
      <c r="H646" s="5"/>
      <c r="J646" s="5" t="str">
        <f>IF(A646&lt;&gt;"",VLOOKUP(A646,Setting!A$11:B$50,2,FALSE),"")</f>
        <v/>
      </c>
      <c r="K646" s="20"/>
      <c r="L646" s="5" t="str">
        <f t="shared" si="61"/>
        <v/>
      </c>
      <c r="M646" t="str">
        <f t="shared" si="62"/>
        <v/>
      </c>
    </row>
    <row r="647" spans="6:13" ht="17.25" customHeight="1">
      <c r="F647" s="5"/>
      <c r="G647" s="20"/>
      <c r="H647" s="5"/>
      <c r="J647" s="5" t="str">
        <f>IF(A647&lt;&gt;"",VLOOKUP(A647,Setting!A$11:B$50,2,FALSE),"")</f>
        <v/>
      </c>
      <c r="K647" s="20"/>
      <c r="L647" s="5" t="str">
        <f t="shared" si="61"/>
        <v/>
      </c>
      <c r="M647" t="str">
        <f t="shared" si="62"/>
        <v/>
      </c>
    </row>
    <row r="648" spans="6:13" ht="17.25" customHeight="1">
      <c r="F648" s="5"/>
      <c r="G648" s="20"/>
      <c r="H648" s="5"/>
      <c r="J648" s="5" t="str">
        <f>IF(A648&lt;&gt;"",VLOOKUP(A648,Setting!A$11:B$50,2,FALSE),"")</f>
        <v/>
      </c>
      <c r="K648" s="20"/>
      <c r="L648" s="5" t="str">
        <f t="shared" si="61"/>
        <v/>
      </c>
      <c r="M648" t="str">
        <f t="shared" si="62"/>
        <v/>
      </c>
    </row>
    <row r="649" spans="6:13" ht="17.25" customHeight="1">
      <c r="F649" s="5"/>
      <c r="G649" s="20"/>
      <c r="H649" s="5"/>
      <c r="J649" s="5" t="str">
        <f>IF(A649&lt;&gt;"",VLOOKUP(A649,Setting!A$11:B$50,2,FALSE),"")</f>
        <v/>
      </c>
      <c r="K649" s="20"/>
      <c r="L649" s="5" t="str">
        <f t="shared" si="61"/>
        <v/>
      </c>
      <c r="M649" t="str">
        <f t="shared" si="62"/>
        <v/>
      </c>
    </row>
    <row r="650" spans="6:13" ht="17.25" customHeight="1">
      <c r="F650" s="5"/>
      <c r="G650" s="20"/>
      <c r="H650" s="5"/>
      <c r="J650" s="5" t="str">
        <f>IF(A650&lt;&gt;"",VLOOKUP(A650,Setting!A$11:B$50,2,FALSE),"")</f>
        <v/>
      </c>
      <c r="K650" s="20"/>
      <c r="L650" s="5" t="str">
        <f t="shared" si="61"/>
        <v/>
      </c>
      <c r="M650" t="str">
        <f t="shared" si="62"/>
        <v/>
      </c>
    </row>
    <row r="651" spans="6:13" ht="17.25" customHeight="1">
      <c r="F651" s="5"/>
      <c r="G651" s="20"/>
      <c r="H651" s="5"/>
      <c r="J651" s="5" t="str">
        <f>IF(A651&lt;&gt;"",VLOOKUP(A651,Setting!A$11:B$50,2,FALSE),"")</f>
        <v/>
      </c>
      <c r="K651" s="20"/>
      <c r="L651" s="5" t="str">
        <f t="shared" si="61"/>
        <v/>
      </c>
      <c r="M651" t="str">
        <f t="shared" si="62"/>
        <v/>
      </c>
    </row>
    <row r="652" spans="6:13" ht="17.25" customHeight="1">
      <c r="F652" s="5"/>
      <c r="G652" s="20"/>
      <c r="H652" s="5"/>
      <c r="J652" s="5" t="str">
        <f>IF(A652&lt;&gt;"",VLOOKUP(A652,Setting!A$11:B$50,2,FALSE),"")</f>
        <v/>
      </c>
      <c r="K652" s="20"/>
      <c r="L652" s="5" t="str">
        <f t="shared" si="61"/>
        <v/>
      </c>
      <c r="M652" t="str">
        <f t="shared" si="62"/>
        <v/>
      </c>
    </row>
    <row r="653" spans="6:13" ht="17.25" customHeight="1">
      <c r="F653" s="5"/>
      <c r="G653" s="20"/>
      <c r="H653" s="5"/>
      <c r="J653" s="5" t="str">
        <f>IF(A653&lt;&gt;"",VLOOKUP(A653,Setting!A$11:B$50,2,FALSE),"")</f>
        <v/>
      </c>
      <c r="K653" s="20"/>
      <c r="L653" s="5" t="str">
        <f t="shared" si="61"/>
        <v/>
      </c>
      <c r="M653" t="str">
        <f t="shared" si="62"/>
        <v/>
      </c>
    </row>
    <row r="654" spans="6:13" ht="17.25" customHeight="1">
      <c r="F654" s="5"/>
      <c r="G654" s="20"/>
      <c r="H654" s="5"/>
      <c r="J654" s="5" t="str">
        <f>IF(A654&lt;&gt;"",VLOOKUP(A654,Setting!A$11:B$50,2,FALSE),"")</f>
        <v/>
      </c>
      <c r="K654" s="20"/>
      <c r="L654" s="5" t="str">
        <f t="shared" si="61"/>
        <v/>
      </c>
      <c r="M654" t="str">
        <f t="shared" si="62"/>
        <v/>
      </c>
    </row>
    <row r="655" spans="6:13" ht="17.25" customHeight="1">
      <c r="F655" s="5"/>
      <c r="G655" s="20"/>
      <c r="H655" s="5"/>
      <c r="J655" s="5" t="str">
        <f>IF(A655&lt;&gt;"",VLOOKUP(A655,Setting!A$11:B$50,2,FALSE),"")</f>
        <v/>
      </c>
      <c r="K655" s="20"/>
      <c r="L655" s="5" t="str">
        <f t="shared" si="61"/>
        <v/>
      </c>
      <c r="M655" t="str">
        <f t="shared" si="62"/>
        <v/>
      </c>
    </row>
    <row r="656" spans="6:13" ht="17.25" customHeight="1">
      <c r="F656" s="5"/>
      <c r="G656" s="20"/>
      <c r="H656" s="5"/>
    </row>
    <row r="657" spans="6:8" ht="17.25" customHeight="1">
      <c r="F657" s="5"/>
      <c r="G657" s="20"/>
      <c r="H657" s="5"/>
    </row>
    <row r="658" spans="6:8" ht="17.25" customHeight="1">
      <c r="F658" s="5"/>
      <c r="G658" s="20"/>
      <c r="H658" s="5"/>
    </row>
    <row r="659" spans="6:8" ht="17.25" customHeight="1">
      <c r="F659" s="5"/>
      <c r="G659" s="20"/>
      <c r="H659" s="5"/>
    </row>
    <row r="660" spans="6:8" ht="17.25" customHeight="1">
      <c r="F660" s="5"/>
      <c r="G660" s="20"/>
      <c r="H660" s="5"/>
    </row>
    <row r="661" spans="6:8" ht="17.25" customHeight="1">
      <c r="F661" s="5"/>
      <c r="G661" s="20"/>
      <c r="H661" s="5"/>
    </row>
    <row r="662" spans="6:8" ht="17.25" customHeight="1">
      <c r="F662" s="5"/>
      <c r="G662" s="20"/>
      <c r="H662" s="5"/>
    </row>
    <row r="663" spans="6:8" ht="17.25" customHeight="1">
      <c r="F663" s="5"/>
      <c r="G663" s="20"/>
      <c r="H663" s="5"/>
    </row>
    <row r="664" spans="6:8" ht="17.25" customHeight="1">
      <c r="F664" s="5"/>
      <c r="G664" s="20"/>
      <c r="H664" s="5"/>
    </row>
    <row r="665" spans="6:8" ht="17.25" customHeight="1">
      <c r="F665" s="5"/>
      <c r="G665" s="20"/>
      <c r="H665" s="5"/>
    </row>
    <row r="666" spans="6:8" ht="17.25" customHeight="1">
      <c r="F666" s="5"/>
      <c r="G666" s="20"/>
      <c r="H666" s="5"/>
    </row>
    <row r="667" spans="6:8" ht="17.25" customHeight="1">
      <c r="F667" s="5"/>
      <c r="G667" s="20"/>
      <c r="H667" s="5"/>
    </row>
    <row r="668" spans="6:8" ht="17.25" customHeight="1">
      <c r="F668" s="5"/>
      <c r="G668" s="20"/>
      <c r="H668" s="5"/>
    </row>
    <row r="669" spans="6:8" ht="17.25" customHeight="1">
      <c r="F669" s="5"/>
      <c r="G669" s="20"/>
      <c r="H669" s="5"/>
    </row>
    <row r="670" spans="6:8" ht="17.25" customHeight="1">
      <c r="F670" s="5"/>
      <c r="G670" s="20"/>
      <c r="H670" s="5"/>
    </row>
    <row r="671" spans="6:8" ht="17.25" customHeight="1">
      <c r="F671" s="5"/>
      <c r="G671" s="20"/>
      <c r="H671" s="5"/>
    </row>
    <row r="672" spans="6:8" ht="17.25" customHeight="1">
      <c r="F672" s="5"/>
      <c r="G672" s="20"/>
      <c r="H672" s="5"/>
    </row>
    <row r="673" spans="6:8" ht="17.25" customHeight="1">
      <c r="F673" s="5"/>
      <c r="G673" s="20"/>
      <c r="H673" s="5"/>
    </row>
    <row r="674" spans="6:8" ht="17.25" customHeight="1">
      <c r="F674" s="5"/>
      <c r="G674" s="20"/>
      <c r="H674" s="5"/>
    </row>
    <row r="675" spans="6:8" ht="17.25" customHeight="1">
      <c r="F675" s="5"/>
      <c r="G675" s="20"/>
      <c r="H675" s="5"/>
    </row>
    <row r="676" spans="6:8" ht="17.25" customHeight="1">
      <c r="F676" s="5"/>
      <c r="G676" s="20"/>
      <c r="H676" s="5"/>
    </row>
    <row r="677" spans="6:8" ht="17.25" customHeight="1">
      <c r="F677" s="5"/>
      <c r="G677" s="20"/>
      <c r="H677" s="5"/>
    </row>
    <row r="678" spans="6:8" ht="17.25" customHeight="1">
      <c r="F678" s="5"/>
      <c r="G678" s="20"/>
      <c r="H678" s="5"/>
    </row>
    <row r="679" spans="6:8" ht="17.25" customHeight="1">
      <c r="F679" s="5"/>
      <c r="G679" s="20"/>
      <c r="H679" s="5"/>
    </row>
    <row r="680" spans="6:8" ht="17.25" customHeight="1">
      <c r="F680" s="5"/>
      <c r="G680" s="20"/>
      <c r="H680" s="5"/>
    </row>
    <row r="681" spans="6:8" ht="17.25" customHeight="1">
      <c r="F681" s="5"/>
      <c r="G681" s="20"/>
      <c r="H681" s="5"/>
    </row>
    <row r="682" spans="6:8" ht="17.25" customHeight="1">
      <c r="F682" s="5"/>
      <c r="G682" s="20"/>
      <c r="H682" s="5"/>
    </row>
    <row r="683" spans="6:8" ht="17.25" customHeight="1">
      <c r="F683" s="5"/>
      <c r="G683" s="20"/>
      <c r="H683" s="5"/>
    </row>
    <row r="684" spans="6:8" ht="17.25" customHeight="1">
      <c r="F684" s="5"/>
      <c r="G684" s="20"/>
      <c r="H684" s="5"/>
    </row>
    <row r="685" spans="6:8" ht="17.25" customHeight="1">
      <c r="F685" s="5"/>
      <c r="G685" s="20"/>
      <c r="H685" s="5"/>
    </row>
    <row r="686" spans="6:8" ht="17.25" customHeight="1">
      <c r="F686" s="5"/>
      <c r="G686" s="20"/>
      <c r="H686" s="5"/>
    </row>
    <row r="687" spans="6:8" ht="17.25" customHeight="1">
      <c r="F687" s="5"/>
      <c r="G687" s="20"/>
      <c r="H687" s="5"/>
    </row>
    <row r="688" spans="6:8" ht="17.25" customHeight="1">
      <c r="F688" s="5"/>
      <c r="G688" s="20"/>
      <c r="H688" s="5"/>
    </row>
    <row r="689" spans="6:8" ht="17.25" customHeight="1">
      <c r="F689" s="5"/>
      <c r="G689" s="20"/>
      <c r="H689" s="5"/>
    </row>
    <row r="690" spans="6:8" ht="17.25" customHeight="1">
      <c r="F690" s="5"/>
      <c r="G690" s="20"/>
      <c r="H690" s="5"/>
    </row>
    <row r="691" spans="6:8" ht="17.25" customHeight="1">
      <c r="F691" s="5"/>
      <c r="G691" s="20"/>
      <c r="H691" s="5"/>
    </row>
    <row r="692" spans="6:8" ht="17.25" customHeight="1">
      <c r="F692" s="5"/>
      <c r="G692" s="20"/>
      <c r="H692" s="5"/>
    </row>
    <row r="693" spans="6:8" ht="17.25" customHeight="1">
      <c r="F693" s="5"/>
      <c r="G693" s="20"/>
      <c r="H693" s="5"/>
    </row>
    <row r="694" spans="6:8" ht="17.25" customHeight="1">
      <c r="F694" s="5"/>
      <c r="G694" s="20"/>
      <c r="H694" s="5"/>
    </row>
    <row r="695" spans="6:8" ht="17.25" customHeight="1">
      <c r="F695" s="5"/>
      <c r="G695" s="20"/>
      <c r="H695" s="5"/>
    </row>
    <row r="696" spans="6:8" ht="17.25" customHeight="1">
      <c r="F696" s="5"/>
      <c r="G696" s="20"/>
      <c r="H696" s="5"/>
    </row>
    <row r="697" spans="6:8" ht="17.25" customHeight="1">
      <c r="F697" s="5"/>
      <c r="G697" s="20"/>
      <c r="H697" s="5"/>
    </row>
    <row r="698" spans="6:8" ht="17.25" customHeight="1">
      <c r="F698" s="5"/>
      <c r="G698" s="20"/>
      <c r="H698" s="5"/>
    </row>
    <row r="699" spans="6:8" ht="17.25" customHeight="1">
      <c r="F699" s="5"/>
      <c r="G699" s="20"/>
      <c r="H699" s="5"/>
    </row>
    <row r="700" spans="6:8" ht="17.25" customHeight="1">
      <c r="F700" s="5"/>
      <c r="G700" s="20"/>
      <c r="H700" s="5"/>
    </row>
    <row r="701" spans="6:8" ht="17.25" customHeight="1">
      <c r="F701" s="5"/>
      <c r="G701" s="20"/>
      <c r="H701" s="5"/>
    </row>
    <row r="702" spans="6:8" ht="17.25" customHeight="1">
      <c r="F702" s="5"/>
      <c r="G702" s="20"/>
      <c r="H702" s="5"/>
    </row>
    <row r="703" spans="6:8" ht="17.25" customHeight="1">
      <c r="F703" s="5"/>
      <c r="G703" s="20"/>
      <c r="H703" s="5"/>
    </row>
    <row r="704" spans="6:8" ht="17.25" customHeight="1">
      <c r="F704" s="5"/>
      <c r="G704" s="20"/>
      <c r="H704" s="5"/>
    </row>
    <row r="705" spans="6:8" ht="17.25" customHeight="1">
      <c r="F705" s="5"/>
      <c r="G705" s="20"/>
      <c r="H705" s="5"/>
    </row>
    <row r="706" spans="6:8" ht="17.25" customHeight="1">
      <c r="F706" s="5"/>
      <c r="G706" s="20"/>
      <c r="H706" s="5"/>
    </row>
    <row r="707" spans="6:8" ht="17.25" customHeight="1">
      <c r="F707" s="5"/>
      <c r="G707" s="20"/>
      <c r="H707" s="5"/>
    </row>
    <row r="708" spans="6:8" ht="17.25" customHeight="1">
      <c r="F708" s="5"/>
      <c r="G708" s="20"/>
      <c r="H708" s="5"/>
    </row>
    <row r="709" spans="6:8" ht="17.25" customHeight="1">
      <c r="F709" s="5"/>
      <c r="G709" s="20"/>
      <c r="H709" s="5"/>
    </row>
    <row r="710" spans="6:8" ht="17.25" customHeight="1">
      <c r="F710" s="5"/>
      <c r="G710" s="20"/>
      <c r="H710" s="5"/>
    </row>
    <row r="711" spans="6:8" ht="17.25" customHeight="1">
      <c r="F711" s="5"/>
      <c r="G711" s="20"/>
      <c r="H711" s="5"/>
    </row>
    <row r="712" spans="6:8" ht="17.25" customHeight="1">
      <c r="F712" s="5"/>
      <c r="G712" s="20"/>
      <c r="H712" s="5"/>
    </row>
    <row r="713" spans="6:8" ht="17.25" customHeight="1">
      <c r="F713" s="5"/>
      <c r="G713" s="20"/>
      <c r="H713" s="5"/>
    </row>
    <row r="714" spans="6:8" ht="17.25" customHeight="1">
      <c r="F714" s="5"/>
      <c r="G714" s="20"/>
      <c r="H714" s="5"/>
    </row>
    <row r="715" spans="6:8" ht="17.25" customHeight="1">
      <c r="F715" s="5"/>
      <c r="G715" s="20"/>
      <c r="H715" s="5"/>
    </row>
    <row r="716" spans="6:8" ht="17.25" customHeight="1">
      <c r="F716" s="5"/>
      <c r="G716" s="20"/>
      <c r="H716" s="5"/>
    </row>
    <row r="717" spans="6:8" ht="17.25" customHeight="1">
      <c r="F717" s="5"/>
      <c r="G717" s="20"/>
      <c r="H717" s="5"/>
    </row>
    <row r="718" spans="6:8" ht="17.25" customHeight="1">
      <c r="F718" s="5"/>
      <c r="G718" s="20"/>
      <c r="H718" s="5"/>
    </row>
    <row r="719" spans="6:8" ht="17.25" customHeight="1">
      <c r="F719" s="5"/>
      <c r="G719" s="20"/>
      <c r="H719" s="5"/>
    </row>
    <row r="720" spans="6:8" ht="17.25" customHeight="1">
      <c r="F720" s="5"/>
      <c r="G720" s="20"/>
      <c r="H720" s="5"/>
    </row>
    <row r="721" spans="6:8" ht="17.25" customHeight="1">
      <c r="F721" s="5"/>
      <c r="G721" s="20"/>
      <c r="H721" s="5"/>
    </row>
    <row r="722" spans="6:8" ht="17.25" customHeight="1">
      <c r="F722" s="5"/>
      <c r="G722" s="20"/>
      <c r="H722" s="5"/>
    </row>
    <row r="723" spans="6:8" ht="17.25" customHeight="1">
      <c r="F723" s="5"/>
      <c r="G723" s="20"/>
      <c r="H723" s="5"/>
    </row>
    <row r="724" spans="6:8" ht="17.25" customHeight="1">
      <c r="F724" s="5"/>
      <c r="G724" s="20"/>
      <c r="H724" s="5"/>
    </row>
    <row r="725" spans="6:8" ht="17.25" customHeight="1">
      <c r="F725" s="5"/>
      <c r="G725" s="20"/>
      <c r="H725" s="5"/>
    </row>
    <row r="726" spans="6:8" ht="17.25" customHeight="1">
      <c r="F726" s="5"/>
      <c r="G726" s="20"/>
      <c r="H726" s="5"/>
    </row>
    <row r="727" spans="6:8" ht="17.25" customHeight="1">
      <c r="F727" s="5"/>
      <c r="G727" s="20"/>
      <c r="H727" s="5"/>
    </row>
    <row r="728" spans="6:8" ht="17.25" customHeight="1">
      <c r="F728" s="5"/>
      <c r="G728" s="20"/>
      <c r="H728" s="5"/>
    </row>
    <row r="729" spans="6:8" ht="17.25" customHeight="1">
      <c r="F729" s="5"/>
      <c r="G729" s="20"/>
      <c r="H729" s="5"/>
    </row>
    <row r="730" spans="6:8" ht="17.25" customHeight="1">
      <c r="F730" s="5"/>
      <c r="G730" s="20"/>
      <c r="H730" s="5"/>
    </row>
    <row r="731" spans="6:8" ht="17.25" customHeight="1">
      <c r="F731" s="5"/>
      <c r="G731" s="20"/>
      <c r="H731" s="5"/>
    </row>
    <row r="732" spans="6:8" ht="17.25" customHeight="1">
      <c r="F732" s="5"/>
      <c r="G732" s="20"/>
      <c r="H732" s="5"/>
    </row>
    <row r="733" spans="6:8" ht="17.25" customHeight="1">
      <c r="F733" s="5"/>
      <c r="G733" s="20"/>
      <c r="H733" s="5"/>
    </row>
    <row r="734" spans="6:8" ht="17.25" customHeight="1">
      <c r="F734" s="5"/>
      <c r="G734" s="20"/>
      <c r="H734" s="5"/>
    </row>
    <row r="735" spans="6:8" ht="17.25" customHeight="1">
      <c r="F735" s="5"/>
      <c r="G735" s="20"/>
      <c r="H735" s="5"/>
    </row>
    <row r="736" spans="6:8" ht="17.25" customHeight="1">
      <c r="F736" s="5"/>
      <c r="G736" s="20"/>
      <c r="H736" s="5"/>
    </row>
    <row r="737" spans="6:8" ht="17.25" customHeight="1">
      <c r="F737" s="5"/>
      <c r="G737" s="20"/>
      <c r="H737" s="5"/>
    </row>
    <row r="738" spans="6:8" ht="17.25" customHeight="1">
      <c r="G738" s="18"/>
    </row>
    <row r="739" spans="6:8" ht="17.25" customHeight="1">
      <c r="G739" s="18"/>
    </row>
    <row r="740" spans="6:8" ht="17.25" customHeight="1">
      <c r="G740" s="18"/>
    </row>
    <row r="741" spans="6:8" ht="17.25" customHeight="1">
      <c r="G741" s="18"/>
    </row>
    <row r="742" spans="6:8" ht="17.25" customHeight="1">
      <c r="G742" s="18"/>
    </row>
    <row r="743" spans="6:8" ht="17.25" customHeight="1">
      <c r="G743" s="18"/>
    </row>
    <row r="744" spans="6:8" ht="17.25" customHeight="1">
      <c r="G744" s="18"/>
    </row>
    <row r="745" spans="6:8" ht="17.25" customHeight="1">
      <c r="G745" s="18"/>
    </row>
    <row r="746" spans="6:8" ht="17.25" customHeight="1">
      <c r="G746" s="18"/>
    </row>
    <row r="747" spans="6:8" ht="17.25" customHeight="1">
      <c r="G747" s="18"/>
    </row>
    <row r="748" spans="6:8" ht="17.25" customHeight="1">
      <c r="G748" s="18"/>
    </row>
    <row r="749" spans="6:8" ht="17.25" customHeight="1">
      <c r="G749" s="18"/>
    </row>
    <row r="750" spans="6:8" ht="17.25" customHeight="1">
      <c r="G750" s="18"/>
    </row>
    <row r="751" spans="6:8" ht="17.25" customHeight="1">
      <c r="G751" s="18"/>
    </row>
    <row r="752" spans="6:8" ht="17.25" customHeight="1">
      <c r="G752" s="18"/>
    </row>
    <row r="753" spans="7:7" ht="17.25" customHeight="1">
      <c r="G753" s="18"/>
    </row>
    <row r="754" spans="7:7" ht="17.25" customHeight="1">
      <c r="G754" s="18"/>
    </row>
    <row r="755" spans="7:7" ht="17.25" customHeight="1">
      <c r="G755" s="18"/>
    </row>
    <row r="756" spans="7:7" ht="17.25" customHeight="1">
      <c r="G756" s="18"/>
    </row>
    <row r="757" spans="7:7" ht="17.25" customHeight="1">
      <c r="G757" s="18"/>
    </row>
    <row r="758" spans="7:7" ht="17.25" customHeight="1">
      <c r="G758" s="18"/>
    </row>
    <row r="759" spans="7:7" ht="17.25" customHeight="1">
      <c r="G759" s="18"/>
    </row>
    <row r="760" spans="7:7" ht="17.25" customHeight="1">
      <c r="G760" s="18"/>
    </row>
    <row r="761" spans="7:7" ht="17.25" customHeight="1">
      <c r="G761" s="18"/>
    </row>
    <row r="762" spans="7:7" ht="17.25" customHeight="1">
      <c r="G762" s="18"/>
    </row>
    <row r="763" spans="7:7" ht="17.25" customHeight="1">
      <c r="G763" s="18"/>
    </row>
    <row r="764" spans="7:7" ht="17.25" customHeight="1">
      <c r="G764" s="18"/>
    </row>
    <row r="765" spans="7:7" ht="17.25" customHeight="1">
      <c r="G765" s="18"/>
    </row>
    <row r="766" spans="7:7" ht="17.25" customHeight="1">
      <c r="G766" s="18"/>
    </row>
    <row r="767" spans="7:7" ht="17.25" customHeight="1">
      <c r="G767" s="18"/>
    </row>
    <row r="768" spans="7:7" ht="17.25" customHeight="1">
      <c r="G768" s="18"/>
    </row>
    <row r="769" spans="7:7" ht="17.25" customHeight="1">
      <c r="G769" s="18"/>
    </row>
    <row r="770" spans="7:7" ht="17.25" customHeight="1">
      <c r="G770" s="18"/>
    </row>
    <row r="771" spans="7:7" ht="17.25" customHeight="1">
      <c r="G771" s="18"/>
    </row>
    <row r="772" spans="7:7" ht="17.25" customHeight="1">
      <c r="G772" s="18"/>
    </row>
    <row r="773" spans="7:7" ht="17.25" customHeight="1">
      <c r="G773" s="18"/>
    </row>
    <row r="774" spans="7:7" ht="17.25" customHeight="1">
      <c r="G774" s="18"/>
    </row>
    <row r="775" spans="7:7" ht="17.25" customHeight="1">
      <c r="G775" s="18"/>
    </row>
    <row r="776" spans="7:7" ht="17.25" customHeight="1">
      <c r="G776" s="18"/>
    </row>
    <row r="777" spans="7:7" ht="17.25" customHeight="1">
      <c r="G777" s="18"/>
    </row>
    <row r="778" spans="7:7" ht="17.25" customHeight="1">
      <c r="G778" s="18"/>
    </row>
    <row r="779" spans="7:7" ht="17.25" customHeight="1">
      <c r="G779" s="18"/>
    </row>
    <row r="780" spans="7:7" ht="17.25" customHeight="1">
      <c r="G780" s="18"/>
    </row>
    <row r="781" spans="7:7" ht="17.25" customHeight="1">
      <c r="G781" s="18"/>
    </row>
    <row r="782" spans="7:7" ht="17.25" customHeight="1">
      <c r="G782" s="18"/>
    </row>
    <row r="783" spans="7:7" ht="17.25" customHeight="1">
      <c r="G783" s="18"/>
    </row>
    <row r="784" spans="7:7" ht="17.25" customHeight="1">
      <c r="G784" s="18"/>
    </row>
    <row r="785" spans="7:7" ht="17.25" customHeight="1">
      <c r="G785" s="18"/>
    </row>
    <row r="786" spans="7:7" ht="17.25" customHeight="1">
      <c r="G786" s="18"/>
    </row>
    <row r="787" spans="7:7" ht="17.25" customHeight="1">
      <c r="G787" s="18"/>
    </row>
    <row r="788" spans="7:7" ht="17.25" customHeight="1">
      <c r="G788" s="18"/>
    </row>
    <row r="789" spans="7:7" ht="17.25" customHeight="1">
      <c r="G789" s="18"/>
    </row>
    <row r="790" spans="7:7" ht="17.25" customHeight="1">
      <c r="G790" s="18"/>
    </row>
    <row r="791" spans="7:7" ht="17.25" customHeight="1">
      <c r="G791" s="18"/>
    </row>
    <row r="792" spans="7:7" ht="17.25" customHeight="1">
      <c r="G792" s="18"/>
    </row>
    <row r="793" spans="7:7" ht="17.25" customHeight="1">
      <c r="G793" s="18"/>
    </row>
    <row r="794" spans="7:7" ht="17.25" customHeight="1">
      <c r="G794" s="18"/>
    </row>
    <row r="795" spans="7:7" ht="17.25" customHeight="1">
      <c r="G795" s="18"/>
    </row>
    <row r="796" spans="7:7" ht="17.25" customHeight="1">
      <c r="G796" s="18"/>
    </row>
    <row r="797" spans="7:7" ht="17.25" customHeight="1">
      <c r="G797" s="18"/>
    </row>
    <row r="798" spans="7:7" ht="17.25" customHeight="1">
      <c r="G798" s="18"/>
    </row>
    <row r="799" spans="7:7" ht="17.25" customHeight="1">
      <c r="G799" s="18"/>
    </row>
    <row r="800" spans="7:7" ht="17.25" customHeight="1">
      <c r="G800" s="18"/>
    </row>
    <row r="801" spans="7:7" ht="17.25" customHeight="1">
      <c r="G801" s="18"/>
    </row>
    <row r="802" spans="7:7" ht="17.25" customHeight="1">
      <c r="G802" s="18"/>
    </row>
    <row r="803" spans="7:7" ht="17.25" customHeight="1">
      <c r="G803" s="18"/>
    </row>
    <row r="804" spans="7:7" ht="17.25" customHeight="1">
      <c r="G804" s="18"/>
    </row>
    <row r="805" spans="7:7" ht="17.25" customHeight="1">
      <c r="G805" s="18"/>
    </row>
  </sheetData>
  <mergeCells count="2">
    <mergeCell ref="A7:B17"/>
    <mergeCell ref="A6:B6"/>
  </mergeCells>
  <phoneticPr fontId="1" type="noConversion"/>
  <conditionalFormatting sqref="B265:B458">
    <cfRule type="containsBlanks" dxfId="8" priority="49">
      <formula>LEN(TRIM(B265))=0</formula>
    </cfRule>
  </conditionalFormatting>
  <conditionalFormatting sqref="F64:H66 H44:H54 G55:H63">
    <cfRule type="duplicateValues" dxfId="7" priority="52"/>
  </conditionalFormatting>
  <conditionalFormatting sqref="B35">
    <cfRule type="duplicateValues" dxfId="6" priority="32"/>
  </conditionalFormatting>
  <conditionalFormatting sqref="F24:F33">
    <cfRule type="duplicateValues" dxfId="5" priority="15"/>
  </conditionalFormatting>
  <conditionalFormatting sqref="J13:J15">
    <cfRule type="duplicateValues" dxfId="4" priority="14"/>
  </conditionalFormatting>
  <conditionalFormatting sqref="I31:I41">
    <cfRule type="duplicateValues" dxfId="3" priority="53"/>
  </conditionalFormatting>
  <conditionalFormatting sqref="B24:B34">
    <cfRule type="duplicateValues" dxfId="2" priority="3"/>
  </conditionalFormatting>
  <conditionalFormatting sqref="A2">
    <cfRule type="duplicateValues" dxfId="1" priority="2"/>
  </conditionalFormatting>
  <conditionalFormatting sqref="B37:B60">
    <cfRule type="duplicateValues" dxfId="0" priority="1"/>
  </conditionalFormatting>
  <dataValidations count="3">
    <dataValidation type="list" allowBlank="1" showInputMessage="1" showErrorMessage="1" sqref="A19:A20 F4 F2">
      <formula1>Type</formula1>
    </dataValidation>
    <dataValidation type="list" allowBlank="1" showInputMessage="1" showErrorMessage="1" sqref="K4 T4 W4 AF4 AC4 Q4 Z4 H4 CB4 CH4 CK4 CN4 CQ4 BM4 BJ4 AL4 BY4 CE4 AU4 AO4 BA4 BG4 AX4 BD4 AR4 BS4 BP4 BV4 AI4 N4 A24:A458 H2 W2 AF2 AC2 Z2 AI2 AO2 AL2 Q2 T2 K2 N2">
      <formula1>RewardType</formula1>
    </dataValidation>
    <dataValidation type="list" allowBlank="1" showInputMessage="1" showErrorMessage="1" sqref="L79 L83:L94">
      <formula1>ItemType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41" sqref="B41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71</v>
      </c>
    </row>
    <row r="2" spans="1:4" ht="16.5">
      <c r="A2" s="4" t="s">
        <v>72</v>
      </c>
    </row>
    <row r="3" spans="1:4" ht="16.5">
      <c r="A3" s="4" t="s">
        <v>73</v>
      </c>
    </row>
    <row r="4" spans="1:4" ht="16.5">
      <c r="A4" s="4" t="s">
        <v>74</v>
      </c>
    </row>
    <row r="5" spans="1:4" ht="16.5">
      <c r="A5" s="4" t="s">
        <v>75</v>
      </c>
    </row>
    <row r="6" spans="1:4" ht="16.5">
      <c r="A6" s="4" t="s">
        <v>76</v>
      </c>
    </row>
    <row r="7" spans="1:4" ht="16.5">
      <c r="A7" s="4"/>
    </row>
    <row r="8" spans="1:4" ht="16.5">
      <c r="A8" s="4"/>
    </row>
    <row r="9" spans="1:4" s="1" customFormat="1">
      <c r="A9" s="1" t="s">
        <v>84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8"/>
    </row>
    <row r="13" spans="1:4">
      <c r="D13" s="8"/>
    </row>
    <row r="15" spans="1:4">
      <c r="D15" s="8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7" t="s">
        <v>29</v>
      </c>
      <c r="B59" s="7" t="s">
        <v>38</v>
      </c>
      <c r="C59" s="7" t="s">
        <v>23</v>
      </c>
      <c r="D59" s="7" t="s">
        <v>53</v>
      </c>
    </row>
    <row r="60" spans="1:13">
      <c r="A60" s="7" t="s">
        <v>30</v>
      </c>
      <c r="B60" s="7" t="s">
        <v>2</v>
      </c>
      <c r="C60" s="7" t="s">
        <v>23</v>
      </c>
      <c r="D60" s="7" t="s">
        <v>54</v>
      </c>
    </row>
    <row r="61" spans="1:13">
      <c r="A61" s="7" t="s">
        <v>31</v>
      </c>
      <c r="B61" s="7" t="s">
        <v>3</v>
      </c>
      <c r="C61" s="7" t="s">
        <v>23</v>
      </c>
      <c r="D61" s="7" t="s">
        <v>55</v>
      </c>
    </row>
    <row r="62" spans="1:13">
      <c r="A62" s="7" t="s">
        <v>32</v>
      </c>
      <c r="B62" s="7" t="s">
        <v>4</v>
      </c>
      <c r="C62" s="7" t="s">
        <v>23</v>
      </c>
      <c r="D62" s="7" t="s">
        <v>56</v>
      </c>
    </row>
    <row r="63" spans="1:13">
      <c r="A63" s="7" t="s">
        <v>33</v>
      </c>
      <c r="B63" s="7" t="s">
        <v>5</v>
      </c>
      <c r="C63" s="7" t="s">
        <v>23</v>
      </c>
      <c r="D63" s="7" t="s">
        <v>57</v>
      </c>
    </row>
    <row r="64" spans="1:13">
      <c r="A64" s="7" t="s">
        <v>34</v>
      </c>
      <c r="B64" s="7" t="s">
        <v>6</v>
      </c>
      <c r="C64" s="7" t="s">
        <v>23</v>
      </c>
      <c r="D64" s="7" t="s">
        <v>58</v>
      </c>
    </row>
    <row r="65" spans="1:4">
      <c r="A65" s="7" t="s">
        <v>46</v>
      </c>
      <c r="B65" s="7" t="s">
        <v>39</v>
      </c>
      <c r="C65" s="7" t="s">
        <v>23</v>
      </c>
      <c r="D65" s="7" t="s">
        <v>59</v>
      </c>
    </row>
    <row r="66" spans="1:4">
      <c r="A66" s="7" t="s">
        <v>35</v>
      </c>
      <c r="B66" s="7" t="s">
        <v>40</v>
      </c>
      <c r="C66" s="7" t="s">
        <v>23</v>
      </c>
      <c r="D66" s="7" t="s">
        <v>60</v>
      </c>
    </row>
    <row r="67" spans="1:4">
      <c r="A67" s="7" t="s">
        <v>44</v>
      </c>
      <c r="B67" s="7" t="s">
        <v>7</v>
      </c>
      <c r="C67" s="7" t="s">
        <v>23</v>
      </c>
      <c r="D67" s="7" t="s">
        <v>61</v>
      </c>
    </row>
    <row r="68" spans="1:4">
      <c r="A68" s="7" t="s">
        <v>47</v>
      </c>
      <c r="B68" s="7" t="s">
        <v>36</v>
      </c>
      <c r="C68" s="7" t="s">
        <v>23</v>
      </c>
      <c r="D68" s="7" t="s">
        <v>62</v>
      </c>
    </row>
    <row r="69" spans="1:4">
      <c r="A69" s="7" t="s">
        <v>45</v>
      </c>
      <c r="B69" s="7" t="s">
        <v>8</v>
      </c>
      <c r="C69" s="7" t="s">
        <v>23</v>
      </c>
      <c r="D69" s="7" t="s">
        <v>63</v>
      </c>
    </row>
    <row r="70" spans="1:4">
      <c r="A70" s="7" t="s">
        <v>48</v>
      </c>
      <c r="B70" s="7" t="s">
        <v>37</v>
      </c>
      <c r="C70" s="7" t="s">
        <v>23</v>
      </c>
      <c r="D70" s="7" t="s">
        <v>64</v>
      </c>
    </row>
    <row r="71" spans="1:4">
      <c r="A71" s="7" t="s">
        <v>42</v>
      </c>
      <c r="B71" s="7" t="s">
        <v>9</v>
      </c>
      <c r="C71" s="7" t="s">
        <v>23</v>
      </c>
      <c r="D71" s="7" t="s">
        <v>65</v>
      </c>
    </row>
    <row r="72" spans="1:4">
      <c r="A72" s="7" t="s">
        <v>43</v>
      </c>
      <c r="B72" s="7" t="s">
        <v>28</v>
      </c>
      <c r="C72" s="7" t="s">
        <v>23</v>
      </c>
      <c r="D72" s="7" t="s">
        <v>66</v>
      </c>
    </row>
    <row r="73" spans="1:4">
      <c r="A73" s="7" t="s">
        <v>27</v>
      </c>
      <c r="B73" s="7" t="s">
        <v>10</v>
      </c>
      <c r="C73" s="7" t="s">
        <v>23</v>
      </c>
      <c r="D73" s="7" t="s">
        <v>67</v>
      </c>
    </row>
    <row r="74" spans="1:4">
      <c r="A74" s="7" t="s">
        <v>26</v>
      </c>
      <c r="B74" s="7" t="s">
        <v>41</v>
      </c>
      <c r="C74" s="7" t="s">
        <v>23</v>
      </c>
      <c r="D74" s="7" t="s">
        <v>68</v>
      </c>
    </row>
    <row r="75" spans="1:4">
      <c r="A75" s="7" t="s">
        <v>49</v>
      </c>
      <c r="B75" s="7" t="s">
        <v>11</v>
      </c>
      <c r="C75" s="7" t="s">
        <v>23</v>
      </c>
      <c r="D75" s="7" t="s">
        <v>69</v>
      </c>
    </row>
    <row r="76" spans="1:4">
      <c r="A76" s="7" t="s">
        <v>50</v>
      </c>
      <c r="B76" s="7" t="s">
        <v>12</v>
      </c>
      <c r="C76" s="7" t="s">
        <v>23</v>
      </c>
      <c r="D76" s="7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28"/>
  <sheetViews>
    <sheetView workbookViewId="0">
      <selection activeCell="D27" sqref="D27"/>
    </sheetView>
  </sheetViews>
  <sheetFormatPr defaultRowHeight="15.75"/>
  <cols>
    <col min="1" max="1" width="17.85546875" customWidth="1"/>
    <col min="2" max="2" width="24.28515625" customWidth="1"/>
    <col min="3" max="3" width="17" customWidth="1"/>
    <col min="4" max="4" width="54.28515625" customWidth="1"/>
  </cols>
  <sheetData>
    <row r="1" spans="1:4">
      <c r="A1" s="9" t="s">
        <v>755</v>
      </c>
      <c r="B1" s="12" t="s">
        <v>937</v>
      </c>
    </row>
    <row r="2" spans="1:4">
      <c r="A2" s="9" t="s">
        <v>755</v>
      </c>
      <c r="B2" s="12" t="s">
        <v>936</v>
      </c>
    </row>
    <row r="5" spans="1:4">
      <c r="A5" s="9"/>
      <c r="B5" s="10"/>
      <c r="C5" s="10"/>
    </row>
    <row r="10" spans="1:4" ht="16.5">
      <c r="A10" s="2" t="s">
        <v>760</v>
      </c>
      <c r="B10" s="2" t="s">
        <v>77</v>
      </c>
      <c r="C10" s="2" t="s">
        <v>111</v>
      </c>
      <c r="D10" s="2" t="s">
        <v>77</v>
      </c>
    </row>
    <row r="11" spans="1:4">
      <c r="A11" t="s">
        <v>106</v>
      </c>
      <c r="B11" s="13" t="s">
        <v>763</v>
      </c>
      <c r="C11" s="13" t="s">
        <v>112</v>
      </c>
      <c r="D11" s="13" t="s">
        <v>113</v>
      </c>
    </row>
    <row r="12" spans="1:4">
      <c r="A12" t="s">
        <v>756</v>
      </c>
      <c r="B12" s="13" t="s">
        <v>764</v>
      </c>
      <c r="C12" s="13" t="s">
        <v>927</v>
      </c>
      <c r="D12" t="s">
        <v>928</v>
      </c>
    </row>
    <row r="13" spans="1:4" ht="31.5">
      <c r="A13" t="s">
        <v>761</v>
      </c>
      <c r="B13" t="s">
        <v>765</v>
      </c>
      <c r="C13" t="s">
        <v>771</v>
      </c>
      <c r="D13" s="15" t="s">
        <v>773</v>
      </c>
    </row>
    <row r="14" spans="1:4" ht="31.5">
      <c r="A14" t="s">
        <v>939</v>
      </c>
      <c r="B14" s="13" t="s">
        <v>940</v>
      </c>
      <c r="C14" t="s">
        <v>772</v>
      </c>
      <c r="D14" s="15" t="s">
        <v>774</v>
      </c>
    </row>
    <row r="15" spans="1:4">
      <c r="C15" t="s">
        <v>941</v>
      </c>
      <c r="D15" s="15" t="s">
        <v>942</v>
      </c>
    </row>
    <row r="16" spans="1:4">
      <c r="D16" s="15"/>
    </row>
    <row r="17" spans="2:4">
      <c r="D17" s="15"/>
    </row>
    <row r="18" spans="2:4">
      <c r="D18" s="15"/>
    </row>
    <row r="22" spans="2:4">
      <c r="B22" s="13"/>
    </row>
    <row r="23" spans="2:4">
      <c r="B23" s="13"/>
    </row>
    <row r="24" spans="2:4">
      <c r="B24" s="13"/>
    </row>
    <row r="25" spans="2:4">
      <c r="B25" s="13"/>
    </row>
    <row r="26" spans="2:4">
      <c r="B26" s="13"/>
    </row>
    <row r="27" spans="2:4">
      <c r="B27" s="13"/>
    </row>
    <row r="28" spans="2:4">
      <c r="B28" s="1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ItemGroup</vt:lpstr>
      <vt:lpstr>ItemGroupTool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2023-04-12T03:57:58Z</dcterms:modified>
</cp:coreProperties>
</file>