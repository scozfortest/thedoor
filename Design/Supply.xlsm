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28920" yWindow="-1485" windowWidth="29040" windowHeight="16440"/>
  </bookViews>
  <sheets>
    <sheet name="Supply" sheetId="1" r:id="rId1"/>
    <sheet name="SupplyEffect" sheetId="8" r:id="rId2"/>
    <sheet name="Info" sheetId="6" r:id="rId3"/>
    <sheet name="Setting" sheetId="7" r:id="rId4"/>
  </sheets>
  <functionGroups builtInGroupCount="17"/>
  <definedNames>
    <definedName name="EffectType">OFFSET(Setting!$A$10:$A$30,,,COUNTA(Setting!$A$10:$A$30))</definedName>
    <definedName name="Target">OFFSET(Setting!$C$10:$C$30,,,COUNTA(Setting!$C$10:$C$30))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" i="1" l="1"/>
  <c r="E3" i="1"/>
  <c r="B6" i="8" l="1"/>
  <c r="B5" i="8"/>
  <c r="B3" i="8"/>
</calcChain>
</file>

<file path=xl/comments1.xml><?xml version="1.0" encoding="utf-8"?>
<comments xmlns="http://schemas.openxmlformats.org/spreadsheetml/2006/main">
  <authors>
    <author>scoz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</t>
        </r>
        <r>
          <rPr>
            <sz val="9"/>
            <color indexed="81"/>
            <rFont val="Tahoma"/>
            <family val="2"/>
          </rPr>
          <t>true</t>
        </r>
        <r>
          <rPr>
            <sz val="9"/>
            <color indexed="81"/>
            <rFont val="細明體"/>
            <family val="3"/>
            <charset val="136"/>
          </rPr>
          <t>就是需要解鎖才會獲得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預設為</t>
        </r>
        <r>
          <rPr>
            <sz val="9"/>
            <color indexed="81"/>
            <rFont val="Tahoma"/>
            <family val="2"/>
          </rPr>
          <t>false</t>
        </r>
      </text>
    </comment>
    <comment ref="G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填道具分類名稱(用逗號分隔) 也可留空
EX. Heavy, Lighting</t>
        </r>
      </text>
    </comment>
    <comment ref="H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增加生命最大值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增加理智最大值</t>
        </r>
      </text>
    </comment>
    <comment ref="J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True</t>
        </r>
        <r>
          <rPr>
            <sz val="9"/>
            <color indexed="81"/>
            <rFont val="細明體"/>
            <family val="3"/>
            <charset val="136"/>
          </rPr>
          <t>才會出現在戰鬥中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True</t>
        </r>
        <r>
          <rPr>
            <sz val="9"/>
            <color indexed="81"/>
            <rFont val="細明體"/>
            <family val="3"/>
            <charset val="136"/>
          </rPr>
          <t>才會出現在休息中</t>
        </r>
      </text>
    </comment>
    <comment ref="L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沒填就是無限次數</t>
        </r>
      </text>
    </comment>
  </commentList>
</comments>
</file>

<file path=xl/comments2.xml><?xml version="1.0" encoding="utf-8"?>
<comments xmlns="http://schemas.openxmlformats.org/spreadsheetml/2006/main">
  <authors>
    <author>scoz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L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</commentList>
</comments>
</file>

<file path=xl/sharedStrings.xml><?xml version="1.0" encoding="utf-8"?>
<sst xmlns="http://schemas.openxmlformats.org/spreadsheetml/2006/main" count="243" uniqueCount="204">
  <si>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</si>
  <si>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</si>
  <si>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</si>
  <si>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</si>
  <si>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</si>
  <si>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</si>
  <si>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</si>
  <si>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</si>
  <si>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</si>
  <si>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</si>
  <si>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</si>
  <si>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</si>
  <si>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</si>
  <si>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</si>
  <si>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</si>
  <si>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</si>
  <si>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</si>
  <si>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</si>
  <si>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</si>
  <si>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</si>
  <si>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</si>
  <si>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</si>
  <si>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</si>
  <si>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</si>
  <si>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</si>
  <si>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</si>
  <si>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</si>
  <si>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</si>
  <si>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</si>
  <si>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</si>
  <si>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</si>
  <si>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</si>
  <si>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</si>
  <si>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</si>
  <si>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</si>
  <si>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</si>
  <si>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</si>
  <si>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</si>
  <si>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</si>
  <si>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</si>
  <si>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</si>
  <si>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</si>
  <si>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</si>
  <si>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</si>
  <si>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</si>
  <si>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</si>
  <si>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</si>
  <si>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</si>
  <si>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</si>
  <si>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</si>
  <si>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</si>
  <si>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</si>
  <si>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</si>
  <si>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</si>
  <si>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</si>
  <si>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</si>
  <si>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</si>
  <si>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</si>
  <si>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</si>
  <si>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</si>
  <si>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</si>
  <si>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</si>
  <si>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</si>
  <si>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</si>
  <si>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</si>
  <si>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</si>
  <si>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</si>
  <si>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</si>
  <si>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</si>
  <si>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</si>
  <si>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</si>
  <si>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</si>
  <si>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</si>
  <si>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</si>
  <si>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</si>
  <si>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</si>
  <si>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</si>
  <si>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</si>
  <si>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</si>
  <si>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</si>
  <si>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名稱</t>
    <phoneticPr fontId="1" type="noConversion"/>
  </si>
  <si>
    <t>品階</t>
    <phoneticPr fontId="1" type="noConversion"/>
  </si>
  <si>
    <t>參考圖示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</si>
  <si>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</si>
  <si>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</si>
  <si>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</si>
  <si>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</si>
  <si>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</si>
  <si>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</si>
  <si>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</si>
  <si>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</si>
  <si>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</si>
  <si>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</si>
  <si>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</si>
  <si>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</si>
  <si>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</si>
  <si>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</si>
  <si>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</si>
  <si>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</si>
  <si>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</si>
  <si>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</si>
  <si>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</si>
  <si>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</si>
  <si>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</si>
  <si>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</si>
  <si>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</si>
  <si>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</si>
  <si>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</si>
  <si>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</si>
  <si>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</si>
  <si>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</si>
  <si>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</si>
  <si>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</si>
  <si>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</si>
  <si>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</si>
  <si>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</si>
  <si>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</si>
  <si>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</si>
  <si>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</si>
  <si>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</si>
  <si>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</si>
  <si>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</si>
  <si>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</si>
  <si>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ID</t>
    <phoneticPr fontId="1" type="noConversion"/>
  </si>
  <si>
    <t>Name_</t>
    <phoneticPr fontId="1" type="noConversion"/>
  </si>
  <si>
    <t>Rank</t>
    <phoneticPr fontId="1" type="noConversion"/>
  </si>
  <si>
    <t>Ref</t>
    <phoneticPr fontId="1" type="noConversion"/>
  </si>
  <si>
    <t>厚重教科書</t>
  </si>
  <si>
    <t>Description_</t>
    <phoneticPr fontId="1" type="noConversion"/>
  </si>
  <si>
    <t>說明</t>
    <phoneticPr fontId="1" type="noConversion"/>
  </si>
  <si>
    <t>戰鬥中使用</t>
    <phoneticPr fontId="1" type="noConversion"/>
  </si>
  <si>
    <t>UseInRest</t>
    <phoneticPr fontId="1" type="noConversion"/>
  </si>
  <si>
    <t>Usage</t>
    <phoneticPr fontId="1" type="noConversion"/>
  </si>
  <si>
    <t>使用次數</t>
    <phoneticPr fontId="1" type="noConversion"/>
  </si>
  <si>
    <t>消耗時間</t>
    <phoneticPr fontId="1" type="noConversion"/>
  </si>
  <si>
    <t>\thedoor\Assets\AddressableAssets\Json\</t>
  </si>
  <si>
    <t>\thedoor_cf\functions\GameData\</t>
    <phoneticPr fontId="1" type="noConversion"/>
  </si>
  <si>
    <t>最大理智增加10</t>
    <phoneticPr fontId="1" type="noConversion"/>
  </si>
  <si>
    <t>手槍</t>
    <phoneticPr fontId="1" type="noConversion"/>
  </si>
  <si>
    <t>休息中使用</t>
    <phoneticPr fontId="1" type="noConversion"/>
  </si>
  <si>
    <t>UseInBattle</t>
    <phoneticPr fontId="1" type="noConversion"/>
  </si>
  <si>
    <t>Stun</t>
    <phoneticPr fontId="1" type="noConversion"/>
  </si>
  <si>
    <t>Bleed</t>
    <phoneticPr fontId="1" type="noConversion"/>
  </si>
  <si>
    <t>EffectType</t>
    <phoneticPr fontId="1" type="noConversion"/>
  </si>
  <si>
    <t>恢復生命</t>
    <phoneticPr fontId="1" type="noConversion"/>
  </si>
  <si>
    <t>恢復理智</t>
    <phoneticPr fontId="1" type="noConversion"/>
  </si>
  <si>
    <t>造成暈眩</t>
    <phoneticPr fontId="1" type="noConversion"/>
  </si>
  <si>
    <t>造成流血</t>
    <phoneticPr fontId="1" type="noConversion"/>
  </si>
  <si>
    <t>逃離戰鬥</t>
    <phoneticPr fontId="1" type="noConversion"/>
  </si>
  <si>
    <t>Flee</t>
    <phoneticPr fontId="1" type="noConversion"/>
  </si>
  <si>
    <t>效果類型1</t>
    <phoneticPr fontId="1" type="noConversion"/>
  </si>
  <si>
    <t>效果數值1</t>
    <phoneticPr fontId="1" type="noConversion"/>
  </si>
  <si>
    <t>觸發機率1</t>
    <phoneticPr fontId="1" type="noConversion"/>
  </si>
  <si>
    <t>EffectType1</t>
    <phoneticPr fontId="1" type="noConversion"/>
  </si>
  <si>
    <t>EffectType2</t>
  </si>
  <si>
    <t>EffectValue2</t>
  </si>
  <si>
    <t>效果類型2</t>
  </si>
  <si>
    <t>效果數值2</t>
  </si>
  <si>
    <t>Stun</t>
  </si>
  <si>
    <t>Bleed</t>
  </si>
  <si>
    <t>觸發機率2</t>
    <phoneticPr fontId="1" type="noConversion"/>
  </si>
  <si>
    <t>5</t>
    <phoneticPr fontId="1" type="noConversion"/>
  </si>
  <si>
    <t>觸發機率</t>
    <phoneticPr fontId="1" type="noConversion"/>
  </si>
  <si>
    <t>Probability</t>
    <phoneticPr fontId="1" type="noConversion"/>
  </si>
  <si>
    <t>Target</t>
    <phoneticPr fontId="1" type="noConversion"/>
  </si>
  <si>
    <t>目標</t>
    <phoneticPr fontId="1" type="noConversion"/>
  </si>
  <si>
    <t>Target</t>
    <phoneticPr fontId="1" type="noConversion"/>
  </si>
  <si>
    <t>Enemy</t>
  </si>
  <si>
    <t>Enemy</t>
    <phoneticPr fontId="1" type="noConversion"/>
  </si>
  <si>
    <t>Myself</t>
  </si>
  <si>
    <t>Myself</t>
    <phoneticPr fontId="1" type="noConversion"/>
  </si>
  <si>
    <t>敵人</t>
    <phoneticPr fontId="1" type="noConversion"/>
  </si>
  <si>
    <t>自己</t>
    <phoneticPr fontId="1" type="noConversion"/>
  </si>
  <si>
    <t>2</t>
    <phoneticPr fontId="1" type="noConversion"/>
  </si>
  <si>
    <t>意志-1</t>
    <phoneticPr fontId="1" type="noConversion"/>
  </si>
  <si>
    <t>-1</t>
    <phoneticPr fontId="1" type="noConversion"/>
  </si>
  <si>
    <t>-20</t>
    <phoneticPr fontId="1" type="noConversion"/>
  </si>
  <si>
    <t>SupplyID</t>
    <phoneticPr fontId="1" type="noConversion"/>
  </si>
  <si>
    <t>道具ID</t>
    <phoneticPr fontId="1" type="noConversion"/>
  </si>
  <si>
    <t>強</t>
    <phoneticPr fontId="1" type="noConversion"/>
  </si>
  <si>
    <t>ExtendHP</t>
    <phoneticPr fontId="1" type="noConversion"/>
  </si>
  <si>
    <t>ExtendSanP</t>
    <phoneticPr fontId="1" type="noConversion"/>
  </si>
  <si>
    <t>生命擴充</t>
    <phoneticPr fontId="1" type="noConversion"/>
  </si>
  <si>
    <t>理智擴充</t>
    <phoneticPr fontId="1" type="noConversion"/>
  </si>
  <si>
    <t>EffectValue1</t>
    <phoneticPr fontId="1" type="noConversion"/>
  </si>
  <si>
    <t>Tags</t>
    <phoneticPr fontId="1" type="noConversion"/>
  </si>
  <si>
    <t>標籤</t>
    <phoneticPr fontId="1" type="noConversion"/>
  </si>
  <si>
    <t>Heavy,Lighting</t>
    <phoneticPr fontId="1" type="noConversion"/>
  </si>
  <si>
    <t>Heavy,Food</t>
    <phoneticPr fontId="1" type="noConversion"/>
  </si>
  <si>
    <t>使用數量</t>
    <phoneticPr fontId="1" type="noConversion"/>
  </si>
  <si>
    <t>EffectPro1</t>
    <phoneticPr fontId="1" type="noConversion"/>
  </si>
  <si>
    <t>EffectProb2</t>
    <phoneticPr fontId="1" type="noConversion"/>
  </si>
  <si>
    <t>-100</t>
    <phoneticPr fontId="1" type="noConversion"/>
  </si>
  <si>
    <t>傷害100</t>
    <phoneticPr fontId="1" type="noConversion"/>
  </si>
  <si>
    <t>傷害20，50%暈眩，自身神智-1</t>
    <phoneticPr fontId="1" type="noConversion"/>
  </si>
  <si>
    <t>HP</t>
    <phoneticPr fontId="1" type="noConversion"/>
  </si>
  <si>
    <t>SanP</t>
  </si>
  <si>
    <t>SanP</t>
    <phoneticPr fontId="1" type="noConversion"/>
  </si>
  <si>
    <t>Time</t>
    <phoneticPr fontId="1" type="noConversion"/>
  </si>
  <si>
    <t>Heavy</t>
    <phoneticPr fontId="1" type="noConversion"/>
  </si>
  <si>
    <t>Lighting</t>
    <phoneticPr fontId="1" type="noConversion"/>
  </si>
  <si>
    <t>Food</t>
    <phoneticPr fontId="1" type="noConversion"/>
  </si>
  <si>
    <t>需解鎖</t>
    <phoneticPr fontId="1" type="noConversion"/>
  </si>
  <si>
    <t>Lock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</si>
</sst>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1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49" fontId="11" fillId="2" borderId="0" xfId="0" applyNumberFormat="1" applyFont="1" applyFill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  <xf numFmtId="9" fontId="11" fillId="2" borderId="0" xfId="0" applyNumberFormat="1" applyFont="1" applyFill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6</xdr:row>
      <xdr:rowOff>38100</xdr:rowOff>
    </xdr:from>
    <xdr:to>
      <xdr:col>5</xdr:col>
      <xdr:colOff>723900</xdr:colOff>
      <xdr:row>7</xdr:row>
      <xdr:rowOff>161925</xdr:rowOff>
    </xdr:to>
    <xdr:sp macro="[0]!計算標籤" textlink="">
      <xdr:nvSpPr>
        <xdr:cNvPr id="2" name="圓角矩形 1"/>
        <xdr:cNvSpPr/>
      </xdr:nvSpPr>
      <xdr:spPr>
        <a:xfrm>
          <a:off x="4857750" y="1238250"/>
          <a:ext cx="1390650" cy="32385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100"/>
            <a:t>點擊更新</a:t>
          </a:r>
          <a:r>
            <a:rPr lang="en-US" altLang="zh-TW" sz="1100"/>
            <a:t>Tag</a:t>
          </a:r>
          <a:r>
            <a:rPr lang="zh-TW" altLang="en-US" sz="1100"/>
            <a:t>表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N196"/>
  <sheetViews>
    <sheetView tabSelected="1" zoomScale="115" zoomScaleNormal="11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J5" sqref="J5"/>
    </sheetView>
  </sheetViews>
  <sheetFormatPr defaultColWidth="7.5703125" defaultRowHeight="15.75"/>
  <cols>
    <col min="1" max="1" width="7.5703125" style="10"/>
    <col min="2" max="2" width="15.85546875" style="10" customWidth="1"/>
    <col min="3" max="3" width="23.7109375" style="10" customWidth="1"/>
    <col min="4" max="4" width="7.5703125" style="13"/>
    <col min="5" max="5" width="11.5703125" style="15" customWidth="1"/>
    <col min="6" max="6" width="8.7109375" style="15" customWidth="1"/>
    <col min="7" max="7" width="16.140625" style="10" customWidth="1"/>
    <col min="8" max="8" width="11.140625" style="10" customWidth="1"/>
    <col min="9" max="9" width="12.140625" style="10" customWidth="1"/>
    <col min="10" max="10" width="14.140625" style="10" customWidth="1"/>
    <col min="11" max="11" width="15.28515625" style="10" customWidth="1"/>
    <col min="12" max="12" width="12.5703125" style="10" customWidth="1"/>
    <col min="13" max="13" width="14.7109375" style="10" customWidth="1"/>
    <col min="15" max="16384" width="7.5703125" style="10"/>
  </cols>
  <sheetData>
    <row r="1" spans="1:14" s="9" customFormat="1">
      <c r="A1" s="9" t="s">
        <v>123</v>
      </c>
      <c r="B1" s="9" t="s">
        <v>124</v>
      </c>
      <c r="C1" s="9" t="s">
        <v>128</v>
      </c>
      <c r="D1" s="12" t="s">
        <v>125</v>
      </c>
      <c r="E1" s="14" t="s">
        <v>126</v>
      </c>
      <c r="F1" s="14" t="s">
        <v>203</v>
      </c>
      <c r="G1" s="9" t="s">
        <v>185</v>
      </c>
      <c r="H1" s="9" t="s">
        <v>180</v>
      </c>
      <c r="I1" s="9" t="s">
        <v>181</v>
      </c>
      <c r="J1" s="9" t="s">
        <v>140</v>
      </c>
      <c r="K1" s="9" t="s">
        <v>131</v>
      </c>
      <c r="L1" s="9" t="s">
        <v>132</v>
      </c>
      <c r="M1" s="9" t="s">
        <v>198</v>
      </c>
    </row>
    <row r="2" spans="1:14" s="9" customFormat="1" ht="15" customHeight="1">
      <c r="A2" s="9" t="s">
        <v>77</v>
      </c>
      <c r="B2" s="9" t="s">
        <v>80</v>
      </c>
      <c r="C2" s="9" t="s">
        <v>129</v>
      </c>
      <c r="D2" s="12" t="s">
        <v>81</v>
      </c>
      <c r="E2" s="14" t="s">
        <v>82</v>
      </c>
      <c r="F2" s="14" t="s">
        <v>202</v>
      </c>
      <c r="G2" s="9" t="s">
        <v>186</v>
      </c>
      <c r="H2" s="9" t="s">
        <v>182</v>
      </c>
      <c r="I2" s="9" t="s">
        <v>183</v>
      </c>
      <c r="J2" s="9" t="s">
        <v>130</v>
      </c>
      <c r="K2" s="9" t="s">
        <v>139</v>
      </c>
      <c r="L2" s="9" t="s">
        <v>133</v>
      </c>
      <c r="M2" s="9" t="s">
        <v>134</v>
      </c>
    </row>
    <row r="3" spans="1:14">
      <c r="A3" s="10">
        <v>1</v>
      </c>
      <c r="B3" s="13" t="s">
        <v>127</v>
      </c>
      <c r="C3" s="16" t="s">
        <v>137</v>
      </c>
      <c r="D3" s="13">
        <v>1</v>
      </c>
      <c r="E3" s="10" t="str">
        <f>"supply"&amp;A3</f>
        <v>supply1</v>
      </c>
      <c r="F3" s="10"/>
      <c r="G3" s="10" t="s">
        <v>187</v>
      </c>
      <c r="H3" s="10">
        <v>10</v>
      </c>
      <c r="I3" s="10">
        <v>10</v>
      </c>
      <c r="J3" s="10" t="b">
        <v>1</v>
      </c>
      <c r="K3" s="10" t="b">
        <v>0</v>
      </c>
      <c r="L3" s="10">
        <v>1</v>
      </c>
      <c r="M3" s="10">
        <v>1</v>
      </c>
      <c r="N3" s="10"/>
    </row>
    <row r="4" spans="1:14">
      <c r="A4" s="10">
        <v>2</v>
      </c>
      <c r="B4" s="13" t="s">
        <v>138</v>
      </c>
      <c r="C4" s="16" t="s">
        <v>179</v>
      </c>
      <c r="D4" s="13">
        <v>1</v>
      </c>
      <c r="E4" s="10" t="str">
        <f>"supply"&amp;A4</f>
        <v>supply2</v>
      </c>
      <c r="F4" s="10"/>
      <c r="G4" s="10" t="s">
        <v>188</v>
      </c>
      <c r="K4" s="10" t="b">
        <v>1</v>
      </c>
      <c r="L4" s="10">
        <v>7</v>
      </c>
      <c r="M4" s="10">
        <v>1</v>
      </c>
      <c r="N4" s="10"/>
    </row>
    <row r="5" spans="1:14">
      <c r="B5" s="13"/>
      <c r="C5" s="16"/>
      <c r="E5" s="10"/>
      <c r="F5" s="10"/>
      <c r="N5" s="10"/>
    </row>
    <row r="6" spans="1:14">
      <c r="B6" s="13"/>
      <c r="C6" s="16"/>
      <c r="E6" s="10"/>
      <c r="F6" s="10"/>
      <c r="N6" s="10"/>
    </row>
    <row r="7" spans="1:14">
      <c r="B7" s="13"/>
      <c r="C7" s="16"/>
      <c r="E7" s="10"/>
      <c r="F7" s="10"/>
      <c r="N7" s="10"/>
    </row>
    <row r="8" spans="1:14">
      <c r="B8" s="13"/>
      <c r="C8" s="16"/>
      <c r="E8" s="10"/>
      <c r="F8" s="10"/>
      <c r="N8" s="10"/>
    </row>
    <row r="9" spans="1:14">
      <c r="B9" s="13"/>
      <c r="C9" s="16"/>
      <c r="E9" s="10"/>
      <c r="F9" s="10"/>
      <c r="N9" s="10"/>
    </row>
    <row r="10" spans="1:14">
      <c r="C10" s="16"/>
      <c r="E10" s="10"/>
      <c r="F10" s="10"/>
      <c r="N10" s="10"/>
    </row>
    <row r="11" spans="1:14">
      <c r="C11" s="16"/>
      <c r="E11" s="10"/>
      <c r="F11" s="10"/>
      <c r="N11" s="10"/>
    </row>
    <row r="13" spans="1:14">
      <c r="A13" s="11" t="s">
        <v>0</v>
      </c>
      <c r="N13" s="10"/>
    </row>
    <row r="157" spans="5:6" s="10" customFormat="1" ht="31.5">
      <c r="E157" s="15" t="s">
        <v>83</v>
      </c>
      <c r="F157" s="15"/>
    </row>
    <row r="158" spans="5:6" s="10" customFormat="1" ht="31.5">
      <c r="E158" s="15" t="s">
        <v>84</v>
      </c>
      <c r="F158" s="15"/>
    </row>
    <row r="159" spans="5:6" s="10" customFormat="1" ht="31.5">
      <c r="E159" s="15" t="s">
        <v>85</v>
      </c>
      <c r="F159" s="15"/>
    </row>
    <row r="160" spans="5:6" s="10" customFormat="1" ht="31.5">
      <c r="E160" s="15" t="s">
        <v>86</v>
      </c>
      <c r="F160" s="15"/>
    </row>
    <row r="161" spans="5:6" s="10" customFormat="1" ht="31.5">
      <c r="E161" s="15" t="s">
        <v>87</v>
      </c>
      <c r="F161" s="15"/>
    </row>
    <row r="162" spans="5:6" s="10" customFormat="1">
      <c r="E162" s="15" t="s">
        <v>88</v>
      </c>
      <c r="F162" s="15"/>
    </row>
    <row r="163" spans="5:6" s="10" customFormat="1" ht="31.5">
      <c r="E163" s="15" t="s">
        <v>89</v>
      </c>
      <c r="F163" s="15"/>
    </row>
    <row r="164" spans="5:6" s="10" customFormat="1" ht="31.5">
      <c r="E164" s="15" t="s">
        <v>90</v>
      </c>
      <c r="F164" s="15"/>
    </row>
    <row r="165" spans="5:6" s="10" customFormat="1" ht="31.5">
      <c r="E165" s="15" t="s">
        <v>91</v>
      </c>
      <c r="F165" s="15"/>
    </row>
    <row r="166" spans="5:6" s="10" customFormat="1" ht="31.5">
      <c r="E166" s="15" t="s">
        <v>92</v>
      </c>
      <c r="F166" s="15"/>
    </row>
    <row r="167" spans="5:6" s="10" customFormat="1" ht="31.5">
      <c r="E167" s="15" t="s">
        <v>93</v>
      </c>
      <c r="F167" s="15"/>
    </row>
    <row r="168" spans="5:6" s="10" customFormat="1" ht="31.5">
      <c r="E168" s="15" t="s">
        <v>94</v>
      </c>
      <c r="F168" s="15"/>
    </row>
    <row r="169" spans="5:6" s="10" customFormat="1" ht="31.5">
      <c r="E169" s="15" t="s">
        <v>95</v>
      </c>
      <c r="F169" s="15"/>
    </row>
    <row r="170" spans="5:6" s="10" customFormat="1" ht="31.5">
      <c r="E170" s="15" t="s">
        <v>96</v>
      </c>
      <c r="F170" s="15"/>
    </row>
    <row r="171" spans="5:6" s="10" customFormat="1" ht="31.5">
      <c r="E171" s="15" t="s">
        <v>97</v>
      </c>
      <c r="F171" s="15"/>
    </row>
    <row r="172" spans="5:6" s="10" customFormat="1" ht="31.5">
      <c r="E172" s="15" t="s">
        <v>98</v>
      </c>
      <c r="F172" s="15"/>
    </row>
    <row r="173" spans="5:6" s="10" customFormat="1" ht="31.5">
      <c r="E173" s="15" t="s">
        <v>99</v>
      </c>
      <c r="F173" s="15"/>
    </row>
    <row r="174" spans="5:6" s="10" customFormat="1" ht="31.5">
      <c r="E174" s="15" t="s">
        <v>100</v>
      </c>
      <c r="F174" s="15"/>
    </row>
    <row r="175" spans="5:6" s="10" customFormat="1" ht="31.5">
      <c r="E175" s="15" t="s">
        <v>101</v>
      </c>
      <c r="F175" s="15"/>
    </row>
    <row r="176" spans="5:6" s="10" customFormat="1" ht="31.5">
      <c r="E176" s="15" t="s">
        <v>102</v>
      </c>
      <c r="F176" s="15"/>
    </row>
    <row r="177" spans="5:6" s="10" customFormat="1" ht="31.5">
      <c r="E177" s="15" t="s">
        <v>103</v>
      </c>
      <c r="F177" s="15"/>
    </row>
    <row r="178" spans="5:6" s="10" customFormat="1" ht="31.5">
      <c r="E178" s="15" t="s">
        <v>104</v>
      </c>
      <c r="F178" s="15"/>
    </row>
    <row r="179" spans="5:6" s="10" customFormat="1" ht="31.5">
      <c r="E179" s="15" t="s">
        <v>105</v>
      </c>
      <c r="F179" s="15"/>
    </row>
    <row r="180" spans="5:6" s="10" customFormat="1" ht="31.5">
      <c r="E180" s="15" t="s">
        <v>106</v>
      </c>
      <c r="F180" s="15"/>
    </row>
    <row r="181" spans="5:6" s="10" customFormat="1" ht="31.5">
      <c r="E181" s="15" t="s">
        <v>107</v>
      </c>
      <c r="F181" s="15"/>
    </row>
    <row r="182" spans="5:6" s="10" customFormat="1" ht="31.5">
      <c r="E182" s="15" t="s">
        <v>108</v>
      </c>
      <c r="F182" s="15"/>
    </row>
    <row r="183" spans="5:6" s="10" customFormat="1" ht="31.5">
      <c r="E183" s="15" t="s">
        <v>109</v>
      </c>
      <c r="F183" s="15"/>
    </row>
    <row r="184" spans="5:6" s="10" customFormat="1" ht="31.5">
      <c r="E184" s="15" t="s">
        <v>110</v>
      </c>
      <c r="F184" s="15"/>
    </row>
    <row r="185" spans="5:6" s="10" customFormat="1" ht="31.5">
      <c r="E185" s="15" t="s">
        <v>111</v>
      </c>
      <c r="F185" s="15"/>
    </row>
    <row r="186" spans="5:6" s="10" customFormat="1" ht="31.5">
      <c r="E186" s="15" t="s">
        <v>112</v>
      </c>
      <c r="F186" s="15"/>
    </row>
    <row r="187" spans="5:6" s="10" customFormat="1" ht="31.5">
      <c r="E187" s="15" t="s">
        <v>113</v>
      </c>
      <c r="F187" s="15"/>
    </row>
    <row r="188" spans="5:6" s="10" customFormat="1" ht="31.5">
      <c r="E188" s="15" t="s">
        <v>114</v>
      </c>
      <c r="F188" s="15"/>
    </row>
    <row r="189" spans="5:6" s="10" customFormat="1" ht="31.5">
      <c r="E189" s="15" t="s">
        <v>115</v>
      </c>
      <c r="F189" s="15"/>
    </row>
    <row r="190" spans="5:6" s="10" customFormat="1" ht="31.5">
      <c r="E190" s="15" t="s">
        <v>116</v>
      </c>
      <c r="F190" s="15"/>
    </row>
    <row r="191" spans="5:6" s="10" customFormat="1" ht="31.5">
      <c r="E191" s="15" t="s">
        <v>117</v>
      </c>
      <c r="F191" s="15"/>
    </row>
    <row r="192" spans="5:6" s="10" customFormat="1">
      <c r="E192" s="15" t="s">
        <v>118</v>
      </c>
      <c r="F192" s="15"/>
    </row>
    <row r="193" spans="5:6" s="10" customFormat="1" ht="31.5">
      <c r="E193" s="15" t="s">
        <v>119</v>
      </c>
      <c r="F193" s="15"/>
    </row>
    <row r="194" spans="5:6" s="10" customFormat="1" ht="31.5">
      <c r="E194" s="15" t="s">
        <v>120</v>
      </c>
      <c r="F194" s="15"/>
    </row>
    <row r="195" spans="5:6" s="10" customFormat="1">
      <c r="E195" s="15" t="s">
        <v>121</v>
      </c>
      <c r="F195" s="15"/>
    </row>
    <row r="196" spans="5:6" s="10" customFormat="1" ht="31.5">
      <c r="E196" s="15" t="s">
        <v>122</v>
      </c>
      <c r="F196" s="15"/>
    </row>
  </sheetData>
  <dataConsolidate/>
  <phoneticPr fontId="1" type="noConversion"/>
  <conditionalFormatting sqref="D1">
    <cfRule type="containsBlanks" dxfId="1" priority="2">
      <formula>LEN(TRIM(D1))=0</formula>
    </cfRule>
  </conditionalFormatting>
  <conditionalFormatting sqref="D2">
    <cfRule type="containsBlanks" dxfId="0" priority="1">
      <formula>LEN(TRIM(D2))=0</formula>
    </cfRule>
  </conditionalFormatting>
  <dataValidations count="1">
    <dataValidation type="list" allowBlank="1" showInputMessage="1" showErrorMessage="1" sqref="J3:K1048576 F1:F10485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L13"/>
  <sheetViews>
    <sheetView workbookViewId="0">
      <selection activeCell="B5" sqref="B5"/>
    </sheetView>
  </sheetViews>
  <sheetFormatPr defaultColWidth="7.5703125" defaultRowHeight="15.75"/>
  <cols>
    <col min="1" max="1" width="7.85546875" style="10" customWidth="1"/>
    <col min="2" max="2" width="15.85546875" style="10" customWidth="1"/>
    <col min="3" max="3" width="25.140625" style="10" customWidth="1"/>
    <col min="4" max="4" width="9.85546875" style="10" customWidth="1"/>
    <col min="5" max="5" width="15.28515625" style="10" customWidth="1"/>
    <col min="6" max="6" width="11.5703125" style="20" customWidth="1"/>
    <col min="7" max="7" width="19.42578125" style="10" customWidth="1"/>
    <col min="8" max="8" width="14.140625" style="18" customWidth="1"/>
    <col min="9" max="9" width="19.5703125" style="20" customWidth="1"/>
    <col min="10" max="10" width="19.42578125" style="10" customWidth="1"/>
    <col min="11" max="11" width="14.140625" style="18" customWidth="1"/>
    <col min="12" max="12" width="19.5703125" style="20" customWidth="1"/>
    <col min="13" max="13" width="7.5703125" style="10"/>
    <col min="14" max="14" width="12" style="10" customWidth="1"/>
    <col min="15" max="16384" width="7.5703125" style="10"/>
  </cols>
  <sheetData>
    <row r="1" spans="1:12" s="9" customFormat="1">
      <c r="A1" s="9" t="s">
        <v>123</v>
      </c>
      <c r="B1" s="9" t="s">
        <v>124</v>
      </c>
      <c r="C1" s="9" t="s">
        <v>128</v>
      </c>
      <c r="D1" s="9" t="s">
        <v>177</v>
      </c>
      <c r="E1" s="9" t="s">
        <v>164</v>
      </c>
      <c r="F1" s="19" t="s">
        <v>163</v>
      </c>
      <c r="G1" s="9" t="s">
        <v>153</v>
      </c>
      <c r="H1" s="17" t="s">
        <v>184</v>
      </c>
      <c r="I1" s="19" t="s">
        <v>190</v>
      </c>
      <c r="J1" s="9" t="s">
        <v>154</v>
      </c>
      <c r="K1" s="17" t="s">
        <v>155</v>
      </c>
      <c r="L1" s="19" t="s">
        <v>191</v>
      </c>
    </row>
    <row r="2" spans="1:12" s="9" customFormat="1">
      <c r="A2" s="9" t="s">
        <v>77</v>
      </c>
      <c r="B2" s="9" t="s">
        <v>80</v>
      </c>
      <c r="C2" s="9" t="s">
        <v>129</v>
      </c>
      <c r="D2" s="9" t="s">
        <v>178</v>
      </c>
      <c r="E2" s="9" t="s">
        <v>165</v>
      </c>
      <c r="F2" s="19" t="s">
        <v>162</v>
      </c>
      <c r="G2" s="9" t="s">
        <v>150</v>
      </c>
      <c r="H2" s="17" t="s">
        <v>151</v>
      </c>
      <c r="I2" s="19" t="s">
        <v>152</v>
      </c>
      <c r="J2" s="9" t="s">
        <v>156</v>
      </c>
      <c r="K2" s="17" t="s">
        <v>157</v>
      </c>
      <c r="L2" s="19" t="s">
        <v>160</v>
      </c>
    </row>
    <row r="3" spans="1:12" ht="31.5">
      <c r="A3" s="10">
        <v>11</v>
      </c>
      <c r="B3" s="13" t="str">
        <f>VLOOKUP(D3,Supply!A:B,2,FALSE)</f>
        <v>厚重教科書</v>
      </c>
      <c r="C3" s="16" t="s">
        <v>194</v>
      </c>
      <c r="D3" s="13">
        <v>1</v>
      </c>
      <c r="E3" s="16" t="s">
        <v>167</v>
      </c>
      <c r="G3" s="10" t="s">
        <v>28</v>
      </c>
      <c r="H3" s="18" t="s">
        <v>176</v>
      </c>
      <c r="J3" s="10" t="s">
        <v>158</v>
      </c>
      <c r="K3" s="18" t="s">
        <v>173</v>
      </c>
      <c r="L3" s="20">
        <v>0.5</v>
      </c>
    </row>
    <row r="4" spans="1:12">
      <c r="B4" s="13"/>
      <c r="C4" s="16"/>
      <c r="D4" s="13"/>
      <c r="E4" s="16"/>
    </row>
    <row r="5" spans="1:12">
      <c r="A5" s="10">
        <v>21</v>
      </c>
      <c r="B5" s="13" t="str">
        <f>VLOOKUP(D5,Supply!A:B,2,FALSE)</f>
        <v>手槍</v>
      </c>
      <c r="C5" s="16" t="s">
        <v>193</v>
      </c>
      <c r="D5" s="13">
        <v>2</v>
      </c>
      <c r="E5" s="16" t="s">
        <v>167</v>
      </c>
      <c r="G5" s="10" t="s">
        <v>28</v>
      </c>
      <c r="H5" s="18" t="s">
        <v>192</v>
      </c>
      <c r="J5" s="10" t="s">
        <v>159</v>
      </c>
      <c r="K5" s="18" t="s">
        <v>161</v>
      </c>
    </row>
    <row r="6" spans="1:12">
      <c r="A6" s="10">
        <v>22</v>
      </c>
      <c r="B6" s="13" t="str">
        <f>VLOOKUP(D6,Supply!A:B,2,FALSE)</f>
        <v>手槍</v>
      </c>
      <c r="C6" s="16" t="s">
        <v>174</v>
      </c>
      <c r="D6" s="13">
        <v>2</v>
      </c>
      <c r="E6" s="16" t="s">
        <v>169</v>
      </c>
      <c r="G6" s="10" t="s">
        <v>196</v>
      </c>
      <c r="H6" s="18" t="s">
        <v>175</v>
      </c>
    </row>
    <row r="7" spans="1:12">
      <c r="B7" s="13"/>
      <c r="C7" s="16"/>
      <c r="D7" s="13"/>
      <c r="E7" s="16"/>
    </row>
    <row r="8" spans="1:12">
      <c r="B8" s="13"/>
      <c r="C8" s="16"/>
      <c r="D8" s="13"/>
      <c r="E8" s="16"/>
    </row>
    <row r="9" spans="1:12">
      <c r="B9" s="13"/>
      <c r="C9" s="16"/>
      <c r="D9" s="13"/>
      <c r="E9" s="16"/>
    </row>
    <row r="10" spans="1:12">
      <c r="B10" s="13"/>
      <c r="C10" s="16"/>
      <c r="D10" s="13"/>
      <c r="E10" s="16"/>
    </row>
    <row r="11" spans="1:12">
      <c r="B11" s="13"/>
      <c r="C11" s="16"/>
      <c r="D11" s="13"/>
      <c r="E11" s="16"/>
    </row>
    <row r="13" spans="1:12">
      <c r="A13" s="11" t="s">
        <v>0</v>
      </c>
    </row>
  </sheetData>
  <phoneticPr fontId="1" type="noConversion"/>
  <dataValidations count="2">
    <dataValidation type="list" allowBlank="1" showInputMessage="1" showErrorMessage="1" sqref="J1:J1048576 G1:G1048576">
      <formula1>EffectType</formula1>
    </dataValidation>
    <dataValidation type="list" allowBlank="1" showInputMessage="1" showErrorMessage="1" sqref="E1:E1048576">
      <formula1>Target</formula1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12" sqref="B12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70</v>
      </c>
    </row>
    <row r="2" spans="1:4" ht="16.5">
      <c r="A2" s="4" t="s">
        <v>71</v>
      </c>
    </row>
    <row r="3" spans="1:4" ht="16.5">
      <c r="A3" s="4" t="s">
        <v>72</v>
      </c>
    </row>
    <row r="4" spans="1:4" ht="16.5">
      <c r="A4" s="4" t="s">
        <v>73</v>
      </c>
    </row>
    <row r="5" spans="1:4" ht="16.5">
      <c r="A5" s="4" t="s">
        <v>74</v>
      </c>
    </row>
    <row r="6" spans="1:4" ht="16.5">
      <c r="A6" s="4" t="s">
        <v>75</v>
      </c>
    </row>
    <row r="7" spans="1:4" ht="16.5">
      <c r="A7" s="4"/>
    </row>
    <row r="8" spans="1:4">
      <c r="D8" s="6"/>
    </row>
    <row r="10" spans="1:4">
      <c r="D10" s="6"/>
    </row>
    <row r="13" spans="1:4">
      <c r="D13" s="6"/>
    </row>
    <row r="15" spans="1:4">
      <c r="D15" s="6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5" t="s">
        <v>28</v>
      </c>
      <c r="B59" s="5" t="s">
        <v>37</v>
      </c>
      <c r="C59" s="5" t="s">
        <v>22</v>
      </c>
      <c r="D59" s="5" t="s">
        <v>52</v>
      </c>
    </row>
    <row r="60" spans="1:13">
      <c r="A60" s="5" t="s">
        <v>29</v>
      </c>
      <c r="B60" s="5" t="s">
        <v>1</v>
      </c>
      <c r="C60" s="5" t="s">
        <v>22</v>
      </c>
      <c r="D60" s="5" t="s">
        <v>53</v>
      </c>
    </row>
    <row r="61" spans="1:13">
      <c r="A61" s="5" t="s">
        <v>30</v>
      </c>
      <c r="B61" s="5" t="s">
        <v>2</v>
      </c>
      <c r="C61" s="5" t="s">
        <v>22</v>
      </c>
      <c r="D61" s="5" t="s">
        <v>54</v>
      </c>
    </row>
    <row r="62" spans="1:13">
      <c r="A62" s="5" t="s">
        <v>31</v>
      </c>
      <c r="B62" s="5" t="s">
        <v>3</v>
      </c>
      <c r="C62" s="5" t="s">
        <v>22</v>
      </c>
      <c r="D62" s="5" t="s">
        <v>55</v>
      </c>
    </row>
    <row r="63" spans="1:13">
      <c r="A63" s="5" t="s">
        <v>32</v>
      </c>
      <c r="B63" s="5" t="s">
        <v>4</v>
      </c>
      <c r="C63" s="5" t="s">
        <v>22</v>
      </c>
      <c r="D63" s="5" t="s">
        <v>56</v>
      </c>
    </row>
    <row r="64" spans="1:13">
      <c r="A64" s="5" t="s">
        <v>33</v>
      </c>
      <c r="B64" s="5" t="s">
        <v>5</v>
      </c>
      <c r="C64" s="5" t="s">
        <v>22</v>
      </c>
      <c r="D64" s="5" t="s">
        <v>57</v>
      </c>
    </row>
    <row r="65" spans="1:4">
      <c r="A65" s="5" t="s">
        <v>45</v>
      </c>
      <c r="B65" s="5" t="s">
        <v>38</v>
      </c>
      <c r="C65" s="5" t="s">
        <v>22</v>
      </c>
      <c r="D65" s="5" t="s">
        <v>58</v>
      </c>
    </row>
    <row r="66" spans="1:4">
      <c r="A66" s="5" t="s">
        <v>34</v>
      </c>
      <c r="B66" s="5" t="s">
        <v>39</v>
      </c>
      <c r="C66" s="5" t="s">
        <v>22</v>
      </c>
      <c r="D66" s="5" t="s">
        <v>59</v>
      </c>
    </row>
    <row r="67" spans="1:4">
      <c r="A67" s="5" t="s">
        <v>43</v>
      </c>
      <c r="B67" s="5" t="s">
        <v>6</v>
      </c>
      <c r="C67" s="5" t="s">
        <v>22</v>
      </c>
      <c r="D67" s="5" t="s">
        <v>60</v>
      </c>
    </row>
    <row r="68" spans="1:4">
      <c r="A68" s="5" t="s">
        <v>46</v>
      </c>
      <c r="B68" s="5" t="s">
        <v>35</v>
      </c>
      <c r="C68" s="5" t="s">
        <v>22</v>
      </c>
      <c r="D68" s="5" t="s">
        <v>61</v>
      </c>
    </row>
    <row r="69" spans="1:4">
      <c r="A69" s="5" t="s">
        <v>44</v>
      </c>
      <c r="B69" s="5" t="s">
        <v>7</v>
      </c>
      <c r="C69" s="5" t="s">
        <v>22</v>
      </c>
      <c r="D69" s="5" t="s">
        <v>62</v>
      </c>
    </row>
    <row r="70" spans="1:4">
      <c r="A70" s="5" t="s">
        <v>47</v>
      </c>
      <c r="B70" s="5" t="s">
        <v>36</v>
      </c>
      <c r="C70" s="5" t="s">
        <v>22</v>
      </c>
      <c r="D70" s="5" t="s">
        <v>63</v>
      </c>
    </row>
    <row r="71" spans="1:4">
      <c r="A71" s="5" t="s">
        <v>41</v>
      </c>
      <c r="B71" s="5" t="s">
        <v>8</v>
      </c>
      <c r="C71" s="5" t="s">
        <v>22</v>
      </c>
      <c r="D71" s="5" t="s">
        <v>64</v>
      </c>
    </row>
    <row r="72" spans="1:4">
      <c r="A72" s="5" t="s">
        <v>42</v>
      </c>
      <c r="B72" s="5" t="s">
        <v>27</v>
      </c>
      <c r="C72" s="5" t="s">
        <v>22</v>
      </c>
      <c r="D72" s="5" t="s">
        <v>65</v>
      </c>
    </row>
    <row r="73" spans="1:4">
      <c r="A73" s="5" t="s">
        <v>26</v>
      </c>
      <c r="B73" s="5" t="s">
        <v>9</v>
      </c>
      <c r="C73" s="5" t="s">
        <v>22</v>
      </c>
      <c r="D73" s="5" t="s">
        <v>66</v>
      </c>
    </row>
    <row r="74" spans="1:4">
      <c r="A74" s="5" t="s">
        <v>25</v>
      </c>
      <c r="B74" s="5" t="s">
        <v>40</v>
      </c>
      <c r="C74" s="5" t="s">
        <v>22</v>
      </c>
      <c r="D74" s="5" t="s">
        <v>67</v>
      </c>
    </row>
    <row r="75" spans="1:4">
      <c r="A75" s="5" t="s">
        <v>48</v>
      </c>
      <c r="B75" s="5" t="s">
        <v>10</v>
      </c>
      <c r="C75" s="5" t="s">
        <v>22</v>
      </c>
      <c r="D75" s="5" t="s">
        <v>68</v>
      </c>
    </row>
    <row r="76" spans="1:4">
      <c r="A76" s="5" t="s">
        <v>49</v>
      </c>
      <c r="B76" s="5" t="s">
        <v>11</v>
      </c>
      <c r="C76" s="5" t="s">
        <v>22</v>
      </c>
      <c r="D76" s="5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F14"/>
  <sheetViews>
    <sheetView workbookViewId="0">
      <selection activeCell="C17" sqref="C17"/>
    </sheetView>
  </sheetViews>
  <sheetFormatPr defaultRowHeight="15.75"/>
  <cols>
    <col min="1" max="1" width="15.140625" customWidth="1"/>
    <col min="2" max="2" width="22.5703125" customWidth="1"/>
    <col min="3" max="3" width="21.5703125" customWidth="1"/>
    <col min="4" max="4" width="12.5703125" customWidth="1"/>
    <col min="5" max="5" width="11" customWidth="1"/>
    <col min="6" max="6" width="12.28515625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6">
      <c r="A1" s="7" t="s">
        <v>78</v>
      </c>
      <c r="B1" s="8" t="s">
        <v>135</v>
      </c>
    </row>
    <row r="2" spans="1:6">
      <c r="A2" s="7" t="s">
        <v>78</v>
      </c>
      <c r="B2" s="8" t="s">
        <v>136</v>
      </c>
    </row>
    <row r="3" spans="1:6">
      <c r="A3" s="7"/>
      <c r="B3" s="8"/>
    </row>
    <row r="5" spans="1:6">
      <c r="A5" s="1"/>
    </row>
    <row r="9" spans="1:6" ht="16.5">
      <c r="A9" s="2" t="s">
        <v>143</v>
      </c>
      <c r="B9" s="2" t="s">
        <v>79</v>
      </c>
      <c r="C9" s="2" t="s">
        <v>166</v>
      </c>
      <c r="D9" s="2" t="s">
        <v>76</v>
      </c>
      <c r="E9" s="2" t="s">
        <v>185</v>
      </c>
      <c r="F9" s="2" t="s">
        <v>189</v>
      </c>
    </row>
    <row r="10" spans="1:6">
      <c r="A10" t="s">
        <v>195</v>
      </c>
      <c r="B10" t="s">
        <v>144</v>
      </c>
      <c r="C10" t="s">
        <v>168</v>
      </c>
      <c r="D10" t="s">
        <v>171</v>
      </c>
      <c r="E10" t="s">
        <v>199</v>
      </c>
      <c r="F10">
        <v>2</v>
      </c>
    </row>
    <row r="11" spans="1:6">
      <c r="A11" t="s">
        <v>197</v>
      </c>
      <c r="B11" t="s">
        <v>145</v>
      </c>
      <c r="C11" t="s">
        <v>170</v>
      </c>
      <c r="D11" t="s">
        <v>172</v>
      </c>
      <c r="E11" t="s">
        <v>200</v>
      </c>
      <c r="F11">
        <v>1</v>
      </c>
    </row>
    <row r="12" spans="1:6">
      <c r="A12" t="s">
        <v>141</v>
      </c>
      <c r="B12" t="s">
        <v>146</v>
      </c>
      <c r="E12" t="s">
        <v>201</v>
      </c>
      <c r="F12">
        <v>1</v>
      </c>
    </row>
    <row r="13" spans="1:6">
      <c r="A13" t="s">
        <v>142</v>
      </c>
      <c r="B13" t="s">
        <v>147</v>
      </c>
    </row>
    <row r="14" spans="1:6">
      <c r="A14" t="s">
        <v>149</v>
      </c>
      <c r="B14" t="s">
        <v>148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Supply</vt:lpstr>
      <vt:lpstr>SupplyEffect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2023-04-19T09:45:20Z</dcterms:modified>
</cp:coreProperties>
</file>