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</workbook>
</file>

<file path=xl/calcChain.xml><?xml version="1.0" encoding="utf-8"?>
<calcChain xmlns="http://schemas.openxmlformats.org/spreadsheetml/2006/main">
  <c r="E8" i="1" l="1"/>
  <c r="E7" i="1"/>
  <c r="E6" i="1"/>
  <c r="A27" i="8" l="1"/>
  <c r="A25" i="8"/>
  <c r="A23" i="8"/>
  <c r="A19" i="8"/>
  <c r="E22" i="1"/>
  <c r="B19" i="8" l="1"/>
  <c r="B17" i="8"/>
  <c r="A17" i="8"/>
  <c r="B27" i="8"/>
  <c r="B25" i="8"/>
  <c r="B23" i="8"/>
  <c r="E21" i="1"/>
  <c r="E20" i="1"/>
  <c r="E19" i="1"/>
  <c r="E14" i="1"/>
  <c r="E13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<sst xmlns="http://schemas.openxmlformats.org/spreadsheetml/2006/main" count="379" uniqueCount="314">
  <si>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</si>
  <si>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</si>
  <si>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</si>
  <si>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</si>
  <si>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</si>
  <si>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</si>
  <si>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</si>
  <si>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</si>
  <si>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</si>
  <si>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</si>
  <si>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</si>
  <si>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</si>
  <si>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</si>
  <si>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</si>
  <si>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</si>
  <si>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</si>
  <si>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</si>
  <si>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</si>
  <si>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</si>
  <si>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</si>
  <si>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</si>
  <si>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</si>
  <si>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</si>
  <si>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</si>
  <si>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</si>
  <si>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</si>
  <si>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</si>
  <si>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</si>
  <si>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</si>
  <si>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</si>
  <si>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</si>
  <si>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</si>
  <si>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</si>
  <si>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</si>
  <si>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</si>
  <si>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</si>
  <si>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</si>
  <si>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</si>
  <si>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</si>
  <si>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</si>
  <si>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</si>
  <si>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</si>
  <si>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</si>
  <si>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</si>
  <si>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</si>
  <si>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</si>
  <si>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</si>
  <si>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</si>
  <si>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</si>
  <si>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</si>
  <si>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</si>
  <si>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</si>
  <si>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</si>
  <si>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</si>
  <si>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</si>
  <si>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</si>
  <si>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</si>
  <si>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</si>
  <si>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</si>
  <si>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</si>
  <si>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</si>
  <si>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</si>
  <si>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</si>
  <si>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</si>
  <si>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</si>
  <si>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</si>
  <si>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</si>
  <si>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</si>
  <si>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</si>
  <si>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</si>
  <si>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</si>
  <si>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</si>
  <si>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</si>
  <si>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</si>
  <si>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</si>
  <si>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</si>
  <si>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</si>
  <si>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</si>
  <si>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</si>
  <si>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</si>
  <si>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</si>
  <si>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</si>
  <si>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</si>
  <si>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</si>
  <si>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</si>
  <si>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</si>
  <si>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</si>
  <si>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</si>
  <si>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</si>
  <si>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</si>
  <si>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</si>
  <si>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</si>
  <si>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</si>
  <si>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</si>
  <si>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</si>
  <si>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</si>
  <si>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</si>
  <si>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</si>
  <si>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</si>
  <si>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</si>
  <si>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</si>
  <si>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</si>
  <si>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</si>
  <si>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</si>
  <si>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</si>
  <si>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</si>
  <si>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</si>
  <si>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</si>
  <si>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</si>
  <si>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</si>
  <si>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</si>
  <si>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</si>
  <si>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</si>
  <si>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</si>
  <si>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</si>
  <si>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</si>
  <si>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</si>
  <si>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</si>
  <si>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</si>
  <si>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</si>
  <si>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</si>
  <si>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</si>
  <si>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</si>
  <si>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</si>
  <si>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</si>
  <si>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</si>
  <si>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</si>
  <si>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</si>
  <si>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</si>
  <si>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</si>
  <si>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</si>
  <si>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</si>
  <si>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</si>
  <si>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</si>
  <si>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</si>
  <si>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</si>
  <si>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</si>
  <si>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</si>
  <si>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</si>
  <si>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</si>
  <si>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</si>
  <si>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</si>
  <si>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</si>
  <si>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</si>
  <si>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</si>
  <si>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</si>
  <si>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</si>
  <si>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</si>
  <si>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</si>
  <si>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</si>
  <si>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</si>
  <si>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</si>
  <si>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</si>
  <si>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</si>
  <si>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</si>
  <si>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</si>
  <si>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</si>
  <si>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</si>
  <si>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</si>
  <si>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</si>
  <si>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</si>
  <si>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</si>
  <si>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</si>
  <si>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</si>
  <si>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</si>
  <si>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</si>
  <si>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</si>
  <si>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</si>
  <si>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</si>
  <si>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</si>
  <si>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</si>
  <si>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</si>
  <si>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</si>
  <si>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</si>
  <si>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</si>
  <si>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</si>
  <si>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</si>
  <si>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</si>
  <si>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</si>
  <si>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</si>
  <si>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</si>
  <si>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</si>
  <si>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</si>
  <si>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</si>
  <si>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</si>
  <si>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</si>
  <si>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</si>
  <si>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</si>
  <si>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</si>
  <si>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</si>
  <si>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</si>
  <si>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</si>
  <si>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</si>
  <si>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</si>
  <si>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</si>
  <si>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</si>
  <si>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</si>
  <si>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</si>
  <si>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</si>
  <si>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</si>
  <si>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</si>
  <si>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</si>
  <si>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</si>
  <si>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</si>
  <si>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</si>
  <si>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</si>
  <si>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</si>
  <si>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</si>
  <si>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</si>
  <si>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</si>
  <si>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</si>
  <si>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</si>
  <si>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</si>
  <si>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</si>
  <si>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</si>
  <si>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</si>
  <si>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</si>
  <si>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</si>
  <si>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</si>
  <si>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</si>
  <si>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</si>
  <si>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</si>
  <si>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</si>
  <si>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</si>
  <si>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</si>
  <si>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</si>
  <si>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</si>
  <si>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</si>
  <si>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</si>
  <si>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</si>
  <si>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</si>
  <si>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</si>
  <si>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</si>
  <si>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</si>
  <si>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</si>
  <si>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</si>
  <si>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</si>
  <si>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</si>
  <si>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</si>
  <si>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</si>
  <si>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</si>
  <si>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</si>
  <si>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</si>
  <si>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</si>
  <si>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</si>
  <si>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</si>
  <si>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</si>
  <si>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</si>
  <si>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</si>
  <si>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</si>
  <si>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</si>
  <si>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</si>
  <si>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</si>
  <si>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</si>
  <si>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</si>
  <si>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</si>
  <si>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</si>
  <si>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</si>
  <si>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</si>
  <si>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</si>
  <si>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</si>
  <si>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</si>
  <si>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</si>
  <si>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</si>
  <si>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</si>
  <si>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</si>
  <si>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傷害20，100%暈眩</t>
    <phoneticPr fontId="1" type="noConversion"/>
  </si>
  <si>
    <t>傷害5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</si>
  <si>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</si>
  <si>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</si>
  <si>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</si>
  <si>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</si>
  <si>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Firearm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</si>
  <si>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</si>
  <si>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</si>
  <si>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</si>
  <si>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None</t>
  </si>
  <si>
    <t>None</t>
    <phoneticPr fontId="1" type="noConversion"/>
  </si>
  <si>
    <t>無法使用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</si>
  <si>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</si>
  <si>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</si>
  <si>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</si>
  <si>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Fortitude</t>
  </si>
  <si>
    <t>獲得堅毅效果</t>
    <phoneticPr fontId="1" type="noConversion"/>
  </si>
  <si>
    <t>最大生命+10</t>
    <phoneticPr fontId="1" type="noConversion"/>
  </si>
  <si>
    <t>傷害40</t>
    <phoneticPr fontId="1" type="noConversion"/>
  </si>
  <si>
    <t>傷害60</t>
    <phoneticPr fontId="1" type="noConversion"/>
  </si>
  <si>
    <t>60</t>
    <phoneticPr fontId="1" type="noConversion"/>
  </si>
  <si>
    <t>40</t>
    <phoneticPr fontId="1" type="noConversion"/>
  </si>
  <si>
    <t>傷害8，50%暈眩</t>
    <phoneticPr fontId="1" type="noConversion"/>
  </si>
  <si>
    <t>Heavy</t>
    <phoneticPr fontId="1" type="noConversion"/>
  </si>
  <si>
    <t>Blunt</t>
    <phoneticPr fontId="1" type="noConversion"/>
  </si>
  <si>
    <t>Heavy,Blunt,Melee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</si>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</sst>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07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6" width="11.5703125" style="15" customWidth="1"/>
    <col min="7" max="7" width="16.140625" style="10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 x14ac:dyDescent="0.25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14" t="s">
        <v>307</v>
      </c>
      <c r="G1" s="9" t="s">
        <v>155</v>
      </c>
      <c r="H1" s="9" t="s">
        <v>305</v>
      </c>
      <c r="I1" s="14" t="s">
        <v>160</v>
      </c>
      <c r="J1" s="9" t="s">
        <v>150</v>
      </c>
      <c r="K1" s="9" t="s">
        <v>151</v>
      </c>
      <c r="L1" s="9" t="s">
        <v>168</v>
      </c>
      <c r="M1" s="9" t="s">
        <v>128</v>
      </c>
      <c r="N1" s="9" t="s">
        <v>161</v>
      </c>
      <c r="O1" s="9" t="s">
        <v>281</v>
      </c>
      <c r="P1" s="14" t="s">
        <v>261</v>
      </c>
      <c r="Q1" s="14" t="s">
        <v>262</v>
      </c>
    </row>
    <row r="2" spans="1:17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260</v>
      </c>
      <c r="F2" s="14" t="s">
        <v>308</v>
      </c>
      <c r="G2" s="9" t="s">
        <v>156</v>
      </c>
      <c r="H2" s="9" t="s">
        <v>304</v>
      </c>
      <c r="I2" s="14" t="s">
        <v>159</v>
      </c>
      <c r="J2" s="9" t="s">
        <v>152</v>
      </c>
      <c r="K2" s="9" t="s">
        <v>153</v>
      </c>
      <c r="L2" s="9" t="s">
        <v>167</v>
      </c>
      <c r="M2" s="9" t="s">
        <v>129</v>
      </c>
      <c r="N2" s="9" t="s">
        <v>130</v>
      </c>
      <c r="O2" s="9" t="s">
        <v>275</v>
      </c>
      <c r="P2" s="14" t="s">
        <v>263</v>
      </c>
      <c r="Q2" s="14" t="s">
        <v>264</v>
      </c>
    </row>
    <row r="5" spans="1:17" x14ac:dyDescent="0.25">
      <c r="B5" s="12" t="s">
        <v>174</v>
      </c>
      <c r="C5" s="16"/>
      <c r="E5" s="10"/>
      <c r="F5" s="10"/>
      <c r="I5" s="10"/>
      <c r="P5" s="10"/>
    </row>
    <row r="6" spans="1:17" x14ac:dyDescent="0.25">
      <c r="A6" s="10">
        <v>1</v>
      </c>
      <c r="B6" s="13" t="s">
        <v>309</v>
      </c>
      <c r="C6" s="16" t="s">
        <v>312</v>
      </c>
      <c r="D6" s="13">
        <v>1</v>
      </c>
      <c r="E6" s="10" t="str">
        <f>"supply"&amp;A6</f>
        <v>supply1</v>
      </c>
      <c r="F6" s="10"/>
      <c r="G6" s="10" t="s">
        <v>310</v>
      </c>
      <c r="I6" s="10"/>
      <c r="J6" s="10">
        <v>10</v>
      </c>
      <c r="L6" s="10" t="s">
        <v>276</v>
      </c>
      <c r="P6" s="10"/>
    </row>
    <row r="7" spans="1:17" x14ac:dyDescent="0.25">
      <c r="A7" s="10">
        <v>2</v>
      </c>
      <c r="B7" s="13" t="s">
        <v>311</v>
      </c>
      <c r="C7" s="16" t="s">
        <v>312</v>
      </c>
      <c r="D7" s="13">
        <v>1</v>
      </c>
      <c r="E7" s="10" t="str">
        <f>"supply"&amp;A7</f>
        <v>supply2</v>
      </c>
      <c r="F7" s="10"/>
      <c r="G7" s="10" t="s">
        <v>310</v>
      </c>
      <c r="I7" s="10"/>
      <c r="J7" s="10">
        <v>5</v>
      </c>
      <c r="L7" s="10" t="s">
        <v>276</v>
      </c>
      <c r="P7" s="10"/>
    </row>
    <row r="8" spans="1:17" x14ac:dyDescent="0.25">
      <c r="A8" s="10">
        <v>3</v>
      </c>
      <c r="B8" s="13" t="s">
        <v>313</v>
      </c>
      <c r="C8" s="16" t="s">
        <v>312</v>
      </c>
      <c r="D8" s="13">
        <v>1</v>
      </c>
      <c r="E8" s="10" t="str">
        <f>"supply"&amp;A8</f>
        <v>supply3</v>
      </c>
      <c r="F8" s="10"/>
      <c r="G8" s="10" t="s">
        <v>310</v>
      </c>
      <c r="I8" s="10"/>
      <c r="K8" s="10">
        <v>5</v>
      </c>
      <c r="L8" s="10" t="s">
        <v>276</v>
      </c>
      <c r="P8" s="10"/>
    </row>
    <row r="9" spans="1:17" x14ac:dyDescent="0.25">
      <c r="B9" s="13"/>
      <c r="C9" s="16"/>
      <c r="E9" s="10"/>
      <c r="F9" s="10"/>
      <c r="I9" s="10"/>
      <c r="P9" s="10"/>
    </row>
    <row r="11" spans="1:17" x14ac:dyDescent="0.25">
      <c r="B11" s="13"/>
      <c r="C11" s="16"/>
      <c r="E11" s="10"/>
      <c r="F11" s="10"/>
      <c r="I11" s="10"/>
      <c r="P11" s="10"/>
    </row>
    <row r="12" spans="1:17" x14ac:dyDescent="0.25">
      <c r="B12" s="12" t="s">
        <v>280</v>
      </c>
      <c r="C12" s="16"/>
      <c r="E12" s="10"/>
      <c r="F12" s="10"/>
      <c r="I12" s="10"/>
      <c r="P12" s="10"/>
    </row>
    <row r="13" spans="1:17" x14ac:dyDescent="0.25">
      <c r="A13" s="10">
        <v>10001</v>
      </c>
      <c r="B13" s="13" t="s">
        <v>166</v>
      </c>
      <c r="C13" s="16" t="s">
        <v>303</v>
      </c>
      <c r="D13" s="13">
        <v>1</v>
      </c>
      <c r="E13" s="10" t="str">
        <f>"supply"&amp;A13</f>
        <v>supply10001</v>
      </c>
      <c r="F13" s="10" t="b">
        <v>1</v>
      </c>
      <c r="G13" s="10" t="s">
        <v>306</v>
      </c>
      <c r="H13" s="10" t="s">
        <v>143</v>
      </c>
      <c r="I13" s="10"/>
      <c r="L13" s="10" t="s">
        <v>173</v>
      </c>
      <c r="N13" s="10">
        <v>2</v>
      </c>
      <c r="P13" s="10"/>
    </row>
    <row r="14" spans="1:17" x14ac:dyDescent="0.25">
      <c r="A14" s="10">
        <v>10002</v>
      </c>
      <c r="B14" s="13" t="s">
        <v>175</v>
      </c>
      <c r="C14" s="16" t="s">
        <v>303</v>
      </c>
      <c r="D14" s="13">
        <v>1</v>
      </c>
      <c r="E14" s="10" t="str">
        <f>"supply"&amp;A14</f>
        <v>supply10002</v>
      </c>
      <c r="F14" s="10" t="b">
        <v>1</v>
      </c>
      <c r="G14" s="10" t="s">
        <v>294</v>
      </c>
      <c r="H14" s="10" t="s">
        <v>143</v>
      </c>
      <c r="I14" s="10"/>
      <c r="L14" s="10" t="s">
        <v>173</v>
      </c>
      <c r="N14" s="10">
        <v>1</v>
      </c>
      <c r="P14" s="10"/>
    </row>
    <row r="15" spans="1:17" x14ac:dyDescent="0.25">
      <c r="B15" s="13"/>
      <c r="C15" s="16"/>
      <c r="E15" s="10"/>
      <c r="F15" s="10"/>
      <c r="I15" s="10"/>
      <c r="P15" s="10"/>
    </row>
    <row r="17" spans="1:16" x14ac:dyDescent="0.25">
      <c r="B17" s="13"/>
      <c r="C17" s="16"/>
      <c r="E17" s="10"/>
      <c r="F17" s="10"/>
      <c r="I17" s="10"/>
      <c r="P17" s="10"/>
    </row>
    <row r="18" spans="1:16" x14ac:dyDescent="0.25">
      <c r="B18" s="12" t="s">
        <v>279</v>
      </c>
      <c r="C18" s="16"/>
      <c r="E18" s="10"/>
      <c r="F18" s="10"/>
      <c r="I18" s="10"/>
      <c r="P18" s="10"/>
    </row>
    <row r="19" spans="1:16" x14ac:dyDescent="0.25">
      <c r="A19" s="10">
        <v>11001</v>
      </c>
      <c r="B19" s="13" t="s">
        <v>271</v>
      </c>
      <c r="C19" s="16" t="s">
        <v>284</v>
      </c>
      <c r="D19" s="13">
        <v>1</v>
      </c>
      <c r="E19" s="10" t="str">
        <f>"supply"&amp;A19</f>
        <v>supply11001</v>
      </c>
      <c r="F19" s="10" t="b">
        <v>1</v>
      </c>
      <c r="G19" s="10" t="s">
        <v>292</v>
      </c>
      <c r="H19" s="10" t="s">
        <v>143</v>
      </c>
      <c r="I19" s="10"/>
      <c r="J19" s="10">
        <v>10</v>
      </c>
      <c r="L19" s="10" t="s">
        <v>265</v>
      </c>
      <c r="M19" s="10">
        <v>3</v>
      </c>
      <c r="N19" s="10">
        <v>1</v>
      </c>
      <c r="P19" s="10"/>
    </row>
    <row r="20" spans="1:16" x14ac:dyDescent="0.25">
      <c r="A20" s="10">
        <v>11002</v>
      </c>
      <c r="B20" s="13" t="s">
        <v>269</v>
      </c>
      <c r="C20" s="16" t="s">
        <v>301</v>
      </c>
      <c r="D20" s="13">
        <v>3</v>
      </c>
      <c r="E20" s="10" t="str">
        <f>"supply"&amp;A20</f>
        <v>supply11002</v>
      </c>
      <c r="F20" s="10" t="b">
        <v>1</v>
      </c>
      <c r="G20" s="10" t="s">
        <v>272</v>
      </c>
      <c r="H20" s="10" t="s">
        <v>143</v>
      </c>
      <c r="I20" s="10"/>
      <c r="L20" s="10" t="s">
        <v>173</v>
      </c>
      <c r="M20" s="10">
        <v>2</v>
      </c>
      <c r="N20" s="10">
        <v>2</v>
      </c>
      <c r="P20" s="10"/>
    </row>
    <row r="21" spans="1:16" x14ac:dyDescent="0.25">
      <c r="A21" s="10">
        <v>11003</v>
      </c>
      <c r="B21" s="13" t="s">
        <v>270</v>
      </c>
      <c r="C21" s="16" t="s">
        <v>302</v>
      </c>
      <c r="D21" s="13">
        <v>2</v>
      </c>
      <c r="E21" s="10" t="str">
        <f>"supply"&amp;A21</f>
        <v>supply11003</v>
      </c>
      <c r="F21" s="10" t="b">
        <v>1</v>
      </c>
      <c r="G21" s="10" t="s">
        <v>293</v>
      </c>
      <c r="H21" s="10" t="s">
        <v>143</v>
      </c>
      <c r="I21" s="10"/>
      <c r="L21" s="10" t="s">
        <v>173</v>
      </c>
      <c r="M21" s="10">
        <v>5</v>
      </c>
      <c r="N21" s="10">
        <v>2</v>
      </c>
      <c r="P21" s="10"/>
    </row>
    <row r="22" spans="1:16" x14ac:dyDescent="0.25">
      <c r="A22" s="10">
        <v>11004</v>
      </c>
      <c r="B22" s="13" t="s">
        <v>273</v>
      </c>
      <c r="C22" s="16" t="s">
        <v>283</v>
      </c>
      <c r="D22" s="13">
        <v>3</v>
      </c>
      <c r="E22" s="10" t="str">
        <f>"supply"&amp;A22</f>
        <v>supply11004</v>
      </c>
      <c r="F22" s="10" t="b">
        <v>1</v>
      </c>
      <c r="G22" s="10" t="s">
        <v>274</v>
      </c>
      <c r="I22" s="10"/>
      <c r="K22" s="10">
        <v>10</v>
      </c>
      <c r="L22" s="10" t="s">
        <v>276</v>
      </c>
      <c r="O22" s="10" t="s">
        <v>282</v>
      </c>
      <c r="P22" s="10"/>
    </row>
    <row r="24" spans="1:16" x14ac:dyDescent="0.25">
      <c r="A24" s="11" t="s">
        <v>0</v>
      </c>
      <c r="P24" s="10"/>
    </row>
    <row r="168" spans="4:16" ht="31.5" x14ac:dyDescent="0.25">
      <c r="D168" s="10"/>
      <c r="E168" s="15" t="s">
        <v>82</v>
      </c>
      <c r="P168" s="10"/>
    </row>
    <row r="169" spans="4:16" ht="31.5" x14ac:dyDescent="0.25">
      <c r="D169" s="10"/>
      <c r="E169" s="15" t="s">
        <v>83</v>
      </c>
      <c r="P169" s="10"/>
    </row>
    <row r="170" spans="4:16" ht="31.5" x14ac:dyDescent="0.25">
      <c r="D170" s="10"/>
      <c r="E170" s="15" t="s">
        <v>84</v>
      </c>
      <c r="P170" s="10"/>
    </row>
    <row r="171" spans="4:16" ht="31.5" x14ac:dyDescent="0.25">
      <c r="D171" s="10"/>
      <c r="E171" s="15" t="s">
        <v>85</v>
      </c>
      <c r="P171" s="10"/>
    </row>
    <row r="172" spans="4:16" ht="31.5" x14ac:dyDescent="0.25">
      <c r="D172" s="10"/>
      <c r="E172" s="15" t="s">
        <v>86</v>
      </c>
      <c r="P172" s="10"/>
    </row>
    <row r="173" spans="4:16" x14ac:dyDescent="0.25">
      <c r="D173" s="10"/>
      <c r="E173" s="15" t="s">
        <v>87</v>
      </c>
      <c r="P173" s="10"/>
    </row>
    <row r="174" spans="4:16" ht="31.5" x14ac:dyDescent="0.25">
      <c r="D174" s="10"/>
      <c r="E174" s="15" t="s">
        <v>88</v>
      </c>
      <c r="P174" s="10"/>
    </row>
    <row r="175" spans="4:16" ht="31.5" x14ac:dyDescent="0.25">
      <c r="D175" s="10"/>
      <c r="E175" s="15" t="s">
        <v>89</v>
      </c>
      <c r="P175" s="10"/>
    </row>
    <row r="176" spans="4:16" ht="31.5" x14ac:dyDescent="0.25">
      <c r="D176" s="10"/>
      <c r="E176" s="15" t="s">
        <v>90</v>
      </c>
      <c r="P176" s="10"/>
    </row>
    <row r="177" spans="4:16" ht="31.5" x14ac:dyDescent="0.25">
      <c r="D177" s="10"/>
      <c r="E177" s="15" t="s">
        <v>91</v>
      </c>
      <c r="P177" s="10"/>
    </row>
    <row r="178" spans="4:16" ht="31.5" x14ac:dyDescent="0.25">
      <c r="D178" s="10"/>
      <c r="E178" s="15" t="s">
        <v>92</v>
      </c>
      <c r="P178" s="10"/>
    </row>
    <row r="179" spans="4:16" ht="31.5" x14ac:dyDescent="0.25">
      <c r="D179" s="10"/>
      <c r="E179" s="15" t="s">
        <v>93</v>
      </c>
      <c r="P179" s="10"/>
    </row>
    <row r="180" spans="4:16" ht="31.5" x14ac:dyDescent="0.25">
      <c r="D180" s="10"/>
      <c r="E180" s="15" t="s">
        <v>94</v>
      </c>
      <c r="P180" s="10"/>
    </row>
    <row r="181" spans="4:16" ht="31.5" x14ac:dyDescent="0.25">
      <c r="D181" s="10"/>
      <c r="E181" s="15" t="s">
        <v>95</v>
      </c>
      <c r="P181" s="10"/>
    </row>
    <row r="182" spans="4:16" ht="31.5" x14ac:dyDescent="0.25">
      <c r="D182" s="10"/>
      <c r="E182" s="15" t="s">
        <v>96</v>
      </c>
      <c r="P182" s="10"/>
    </row>
    <row r="183" spans="4:16" ht="31.5" x14ac:dyDescent="0.25">
      <c r="D183" s="10"/>
      <c r="E183" s="15" t="s">
        <v>97</v>
      </c>
      <c r="P183" s="10"/>
    </row>
    <row r="184" spans="4:16" ht="31.5" x14ac:dyDescent="0.25">
      <c r="D184" s="10"/>
      <c r="E184" s="15" t="s">
        <v>98</v>
      </c>
      <c r="P184" s="10"/>
    </row>
    <row r="185" spans="4:16" ht="31.5" x14ac:dyDescent="0.25">
      <c r="D185" s="10"/>
      <c r="E185" s="15" t="s">
        <v>99</v>
      </c>
      <c r="P185" s="10"/>
    </row>
    <row r="186" spans="4:16" ht="31.5" x14ac:dyDescent="0.25">
      <c r="D186" s="10"/>
      <c r="E186" s="15" t="s">
        <v>100</v>
      </c>
      <c r="P186" s="10"/>
    </row>
    <row r="187" spans="4:16" ht="31.5" x14ac:dyDescent="0.25">
      <c r="D187" s="10"/>
      <c r="E187" s="15" t="s">
        <v>101</v>
      </c>
      <c r="P187" s="10"/>
    </row>
    <row r="188" spans="4:16" ht="31.5" x14ac:dyDescent="0.25">
      <c r="D188" s="10"/>
      <c r="E188" s="15" t="s">
        <v>102</v>
      </c>
      <c r="P188" s="10"/>
    </row>
    <row r="189" spans="4:16" ht="31.5" x14ac:dyDescent="0.25">
      <c r="D189" s="10"/>
      <c r="E189" s="15" t="s">
        <v>103</v>
      </c>
      <c r="P189" s="10"/>
    </row>
    <row r="190" spans="4:16" ht="31.5" x14ac:dyDescent="0.25">
      <c r="D190" s="10"/>
      <c r="E190" s="15" t="s">
        <v>104</v>
      </c>
      <c r="P190" s="10"/>
    </row>
    <row r="191" spans="4:16" ht="31.5" x14ac:dyDescent="0.25">
      <c r="D191" s="10"/>
      <c r="E191" s="15" t="s">
        <v>105</v>
      </c>
      <c r="P191" s="10"/>
    </row>
    <row r="192" spans="4:16" ht="31.5" x14ac:dyDescent="0.25">
      <c r="D192" s="10"/>
      <c r="E192" s="15" t="s">
        <v>106</v>
      </c>
      <c r="P192" s="10"/>
    </row>
    <row r="193" spans="4:16" ht="31.5" x14ac:dyDescent="0.25">
      <c r="D193" s="10"/>
      <c r="E193" s="15" t="s">
        <v>107</v>
      </c>
      <c r="P193" s="10"/>
    </row>
    <row r="194" spans="4:16" ht="31.5" x14ac:dyDescent="0.25">
      <c r="D194" s="10"/>
      <c r="E194" s="15" t="s">
        <v>108</v>
      </c>
      <c r="P194" s="10"/>
    </row>
    <row r="195" spans="4:16" ht="31.5" x14ac:dyDescent="0.25">
      <c r="D195" s="10"/>
      <c r="E195" s="15" t="s">
        <v>109</v>
      </c>
      <c r="P195" s="10"/>
    </row>
    <row r="196" spans="4:16" ht="31.5" x14ac:dyDescent="0.25">
      <c r="D196" s="10"/>
      <c r="E196" s="15" t="s">
        <v>110</v>
      </c>
      <c r="P196" s="10"/>
    </row>
    <row r="197" spans="4:16" ht="31.5" x14ac:dyDescent="0.25">
      <c r="D197" s="10"/>
      <c r="E197" s="15" t="s">
        <v>111</v>
      </c>
      <c r="P197" s="10"/>
    </row>
    <row r="198" spans="4:16" ht="31.5" x14ac:dyDescent="0.25">
      <c r="D198" s="10"/>
      <c r="E198" s="15" t="s">
        <v>112</v>
      </c>
      <c r="P198" s="10"/>
    </row>
    <row r="199" spans="4:16" ht="31.5" x14ac:dyDescent="0.25">
      <c r="D199" s="10"/>
      <c r="E199" s="15" t="s">
        <v>113</v>
      </c>
      <c r="P199" s="10"/>
    </row>
    <row r="200" spans="4:16" ht="31.5" x14ac:dyDescent="0.25">
      <c r="D200" s="10"/>
      <c r="E200" s="15" t="s">
        <v>114</v>
      </c>
      <c r="P200" s="10"/>
    </row>
    <row r="201" spans="4:16" ht="31.5" x14ac:dyDescent="0.25">
      <c r="D201" s="10"/>
      <c r="E201" s="15" t="s">
        <v>115</v>
      </c>
      <c r="P201" s="10"/>
    </row>
    <row r="202" spans="4:16" ht="31.5" x14ac:dyDescent="0.25">
      <c r="D202" s="10"/>
      <c r="E202" s="15" t="s">
        <v>116</v>
      </c>
      <c r="P202" s="10"/>
    </row>
    <row r="203" spans="4:16" x14ac:dyDescent="0.25">
      <c r="D203" s="10"/>
      <c r="E203" s="15" t="s">
        <v>117</v>
      </c>
      <c r="P203" s="10"/>
    </row>
    <row r="204" spans="4:16" ht="31.5" x14ac:dyDescent="0.25">
      <c r="D204" s="10"/>
      <c r="E204" s="15" t="s">
        <v>118</v>
      </c>
      <c r="P204" s="10"/>
    </row>
    <row r="205" spans="4:16" ht="31.5" x14ac:dyDescent="0.25">
      <c r="D205" s="10"/>
      <c r="E205" s="15" t="s">
        <v>119</v>
      </c>
      <c r="P205" s="10"/>
    </row>
    <row r="206" spans="4:16" x14ac:dyDescent="0.25">
      <c r="D206" s="10"/>
      <c r="E206" s="15" t="s">
        <v>120</v>
      </c>
      <c r="P206" s="10"/>
    </row>
    <row r="207" spans="4:16" ht="31.5" x14ac:dyDescent="0.25">
      <c r="D207" s="10"/>
      <c r="E207" s="15" t="s">
        <v>121</v>
      </c>
      <c r="P207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4">
    <dataValidation type="list" allowBlank="1" showInputMessage="1" showErrorMessage="1" sqref="I1:I2 I5:I9 I17:I1048576 I11:I15 F1:F1048576">
      <formula1>"True,False"</formula1>
    </dataValidation>
    <dataValidation type="list" allowBlank="1" showInputMessage="1" showErrorMessage="1" sqref="L1:L1048576">
      <formula1>Timing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2"/>
  <sheetViews>
    <sheetView workbookViewId="0">
      <selection activeCell="E17" sqref="E17"/>
    </sheetView>
  </sheetViews>
  <sheetFormatPr defaultColWidth="7.5703125" defaultRowHeight="15.75" x14ac:dyDescent="0.2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190</v>
      </c>
      <c r="J1" s="17" t="s">
        <v>191</v>
      </c>
      <c r="K1" s="19" t="s">
        <v>158</v>
      </c>
      <c r="L1" s="9" t="s">
        <v>194</v>
      </c>
      <c r="M1" s="17" t="s">
        <v>195</v>
      </c>
      <c r="N1" s="19" t="s">
        <v>196</v>
      </c>
      <c r="O1" s="9" t="s">
        <v>200</v>
      </c>
      <c r="P1" s="17" t="s">
        <v>201</v>
      </c>
      <c r="Q1" s="19" t="s">
        <v>202</v>
      </c>
      <c r="R1" s="9" t="s">
        <v>203</v>
      </c>
      <c r="S1" s="17" t="s">
        <v>204</v>
      </c>
      <c r="T1" s="19" t="s">
        <v>205</v>
      </c>
      <c r="U1" s="9" t="s">
        <v>206</v>
      </c>
      <c r="V1" s="17" t="s">
        <v>207</v>
      </c>
      <c r="W1" s="19" t="s">
        <v>208</v>
      </c>
      <c r="X1" s="9" t="s">
        <v>209</v>
      </c>
      <c r="Y1" s="17" t="s">
        <v>210</v>
      </c>
      <c r="Z1" s="19" t="s">
        <v>211</v>
      </c>
    </row>
    <row r="2" spans="1:26" s="9" customFormat="1" x14ac:dyDescent="0.25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192</v>
      </c>
      <c r="J2" s="17" t="s">
        <v>193</v>
      </c>
      <c r="K2" s="19" t="s">
        <v>139</v>
      </c>
      <c r="L2" s="9" t="s">
        <v>197</v>
      </c>
      <c r="M2" s="17" t="s">
        <v>198</v>
      </c>
      <c r="N2" s="19" t="s">
        <v>199</v>
      </c>
      <c r="O2" s="9" t="s">
        <v>212</v>
      </c>
      <c r="P2" s="17" t="s">
        <v>213</v>
      </c>
      <c r="Q2" s="19" t="s">
        <v>214</v>
      </c>
      <c r="R2" s="9" t="s">
        <v>215</v>
      </c>
      <c r="S2" s="17" t="s">
        <v>216</v>
      </c>
      <c r="T2" s="19" t="s">
        <v>217</v>
      </c>
      <c r="U2" s="9" t="s">
        <v>218</v>
      </c>
      <c r="V2" s="17" t="s">
        <v>219</v>
      </c>
      <c r="W2" s="19" t="s">
        <v>220</v>
      </c>
      <c r="X2" s="9" t="s">
        <v>221</v>
      </c>
      <c r="Y2" s="17" t="s">
        <v>222</v>
      </c>
      <c r="Z2" s="19" t="s">
        <v>223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3"/>
      <c r="C5" s="16"/>
      <c r="D5" s="13"/>
      <c r="E5" s="16"/>
    </row>
    <row r="6" spans="1:26" x14ac:dyDescent="0.25">
      <c r="B6" s="13"/>
      <c r="C6" s="16"/>
      <c r="D6" s="13"/>
      <c r="E6" s="16"/>
    </row>
    <row r="7" spans="1:26" x14ac:dyDescent="0.25">
      <c r="B7" s="13"/>
      <c r="C7" s="16"/>
      <c r="D7" s="13"/>
      <c r="E7" s="16"/>
    </row>
    <row r="8" spans="1:26" x14ac:dyDescent="0.25">
      <c r="B8" s="13"/>
      <c r="C8" s="16"/>
      <c r="D8" s="13"/>
      <c r="E8" s="16"/>
    </row>
    <row r="9" spans="1:26" x14ac:dyDescent="0.25">
      <c r="B9" s="13"/>
      <c r="C9" s="16"/>
      <c r="D9" s="13"/>
      <c r="E9" s="16"/>
    </row>
    <row r="10" spans="1:26" x14ac:dyDescent="0.25">
      <c r="B10" s="13"/>
      <c r="C10" s="16"/>
      <c r="D10" s="13"/>
      <c r="E10" s="16"/>
    </row>
    <row r="11" spans="1:26" x14ac:dyDescent="0.25">
      <c r="B11" s="13"/>
      <c r="C11" s="16"/>
      <c r="D11" s="13"/>
      <c r="E11" s="16"/>
    </row>
    <row r="12" spans="1:26" x14ac:dyDescent="0.25">
      <c r="B12" s="13"/>
      <c r="C12" s="16"/>
      <c r="D12" s="13"/>
      <c r="E12" s="16"/>
    </row>
    <row r="13" spans="1:26" x14ac:dyDescent="0.25">
      <c r="B13" s="13"/>
      <c r="C13" s="16"/>
      <c r="D13" s="13"/>
      <c r="E13" s="16"/>
    </row>
    <row r="14" spans="1:26" x14ac:dyDescent="0.25">
      <c r="B14" s="13"/>
      <c r="C14" s="16"/>
      <c r="D14" s="13"/>
      <c r="E14" s="16"/>
    </row>
    <row r="15" spans="1:26" x14ac:dyDescent="0.25">
      <c r="B15" s="13"/>
      <c r="C15" s="16"/>
      <c r="D15" s="13"/>
      <c r="E15" s="16"/>
    </row>
    <row r="16" spans="1:26" x14ac:dyDescent="0.25">
      <c r="B16" s="12" t="s">
        <v>165</v>
      </c>
      <c r="C16" s="16"/>
      <c r="D16" s="13"/>
      <c r="E16" s="16"/>
    </row>
    <row r="17" spans="1:11" x14ac:dyDescent="0.25">
      <c r="A17" s="10">
        <f>D17*10+1</f>
        <v>100011</v>
      </c>
      <c r="B17" s="13" t="str">
        <f>VLOOKUP(D17,Supply!A:B,2,FALSE)</f>
        <v>重踹</v>
      </c>
      <c r="C17" s="16" t="s">
        <v>289</v>
      </c>
      <c r="D17" s="13">
        <v>10001</v>
      </c>
      <c r="E17" s="16" t="s">
        <v>143</v>
      </c>
      <c r="F17" s="10" t="s">
        <v>229</v>
      </c>
      <c r="G17" s="18" t="s">
        <v>255</v>
      </c>
      <c r="H17" s="20">
        <v>1</v>
      </c>
      <c r="I17" s="10" t="s">
        <v>224</v>
      </c>
      <c r="J17" s="18" t="s">
        <v>268</v>
      </c>
      <c r="K17" s="20">
        <v>0.5</v>
      </c>
    </row>
    <row r="18" spans="1:11" x14ac:dyDescent="0.25">
      <c r="B18" s="13"/>
      <c r="C18" s="16"/>
      <c r="D18" s="13"/>
      <c r="E18" s="16"/>
    </row>
    <row r="19" spans="1:11" x14ac:dyDescent="0.25">
      <c r="A19" s="10">
        <f>D19*10+1</f>
        <v>100021</v>
      </c>
      <c r="B19" s="13" t="str">
        <f>VLOOKUP(D19,Supply!A:B,2,FALSE)</f>
        <v>徒手搏擊</v>
      </c>
      <c r="C19" s="16" t="s">
        <v>267</v>
      </c>
      <c r="D19" s="13">
        <v>10002</v>
      </c>
      <c r="E19" s="16" t="s">
        <v>143</v>
      </c>
      <c r="F19" s="10" t="s">
        <v>229</v>
      </c>
      <c r="G19" s="18" t="s">
        <v>254</v>
      </c>
      <c r="H19" s="20">
        <v>1</v>
      </c>
    </row>
    <row r="20" spans="1:11" x14ac:dyDescent="0.25">
      <c r="B20" s="13"/>
      <c r="C20" s="16"/>
      <c r="D20" s="13"/>
      <c r="E20" s="16"/>
    </row>
    <row r="21" spans="1:11" x14ac:dyDescent="0.25">
      <c r="B21" s="13"/>
      <c r="C21" s="16"/>
      <c r="D21" s="13"/>
      <c r="E21" s="16"/>
    </row>
    <row r="22" spans="1:11" x14ac:dyDescent="0.25">
      <c r="B22" s="12" t="s">
        <v>279</v>
      </c>
      <c r="C22" s="16"/>
      <c r="D22" s="13"/>
      <c r="E22" s="16"/>
    </row>
    <row r="23" spans="1:11" x14ac:dyDescent="0.25">
      <c r="A23" s="10">
        <f>D23*10+1</f>
        <v>110011</v>
      </c>
      <c r="B23" s="13" t="str">
        <f>VLOOKUP(D23,Supply!A:B,2,FALSE)</f>
        <v>厚重百科全書</v>
      </c>
      <c r="C23" s="16" t="s">
        <v>266</v>
      </c>
      <c r="D23" s="10">
        <v>11001</v>
      </c>
      <c r="E23" s="16" t="s">
        <v>143</v>
      </c>
      <c r="F23" s="10" t="s">
        <v>229</v>
      </c>
      <c r="G23" s="18" t="s">
        <v>253</v>
      </c>
      <c r="H23" s="20">
        <v>1</v>
      </c>
      <c r="I23" s="10" t="s">
        <v>224</v>
      </c>
      <c r="J23" s="18" t="s">
        <v>268</v>
      </c>
      <c r="K23" s="20">
        <v>1</v>
      </c>
    </row>
    <row r="24" spans="1:11" x14ac:dyDescent="0.25">
      <c r="B24" s="13"/>
      <c r="C24" s="16"/>
      <c r="D24" s="13"/>
      <c r="E24" s="16"/>
    </row>
    <row r="25" spans="1:11" x14ac:dyDescent="0.25">
      <c r="A25" s="10">
        <f>D25*10+1</f>
        <v>110021</v>
      </c>
      <c r="B25" s="13" t="str">
        <f>VLOOKUP(D25,Supply!A:B,2,FALSE)</f>
        <v>步槍</v>
      </c>
      <c r="C25" s="16" t="s">
        <v>286</v>
      </c>
      <c r="D25" s="10">
        <v>11002</v>
      </c>
      <c r="E25" s="16" t="s">
        <v>143</v>
      </c>
      <c r="F25" s="10" t="s">
        <v>229</v>
      </c>
      <c r="G25" s="18" t="s">
        <v>287</v>
      </c>
      <c r="H25" s="20">
        <v>1</v>
      </c>
    </row>
    <row r="26" spans="1:11" x14ac:dyDescent="0.25">
      <c r="B26" s="13"/>
      <c r="C26" s="16"/>
      <c r="E26" s="16"/>
    </row>
    <row r="27" spans="1:11" x14ac:dyDescent="0.25">
      <c r="A27" s="10">
        <f>D27*10+1</f>
        <v>110031</v>
      </c>
      <c r="B27" s="13" t="str">
        <f>VLOOKUP(D27,Supply!A:B,2,FALSE)</f>
        <v>手術刀</v>
      </c>
      <c r="C27" s="16" t="s">
        <v>285</v>
      </c>
      <c r="D27" s="10">
        <v>11003</v>
      </c>
      <c r="E27" s="16" t="s">
        <v>143</v>
      </c>
      <c r="F27" s="10" t="s">
        <v>229</v>
      </c>
      <c r="G27" s="18" t="s">
        <v>288</v>
      </c>
      <c r="H27" s="20">
        <v>1</v>
      </c>
    </row>
    <row r="28" spans="1:11" x14ac:dyDescent="0.25">
      <c r="B28" s="13"/>
      <c r="C28" s="16"/>
      <c r="D28" s="13"/>
      <c r="E28" s="16"/>
    </row>
    <row r="29" spans="1:11" x14ac:dyDescent="0.25">
      <c r="B29" s="13"/>
      <c r="C29" s="16"/>
      <c r="D29" s="13"/>
      <c r="E29" s="16"/>
    </row>
    <row r="30" spans="1:11" x14ac:dyDescent="0.25">
      <c r="B30" s="13"/>
      <c r="C30" s="16"/>
      <c r="D30" s="13"/>
      <c r="E30" s="16"/>
    </row>
    <row r="32" spans="1:11" x14ac:dyDescent="0.25">
      <c r="A32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I1:I1048576 F1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E11" sqref="E11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 x14ac:dyDescent="0.25">
      <c r="A1" s="7" t="s">
        <v>78</v>
      </c>
      <c r="B1" s="8" t="s">
        <v>131</v>
      </c>
    </row>
    <row r="2" spans="1:8" x14ac:dyDescent="0.25">
      <c r="A2" s="7" t="s">
        <v>78</v>
      </c>
      <c r="B2" s="8" t="s">
        <v>132</v>
      </c>
    </row>
    <row r="3" spans="1:8" x14ac:dyDescent="0.25">
      <c r="A3" s="7"/>
      <c r="B3" s="8"/>
    </row>
    <row r="5" spans="1:8" x14ac:dyDescent="0.25">
      <c r="A5" s="1"/>
    </row>
    <row r="9" spans="1:8" ht="16.5" x14ac:dyDescent="0.2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 x14ac:dyDescent="0.25">
      <c r="A10" t="s">
        <v>230</v>
      </c>
      <c r="B10" s="6" t="s">
        <v>234</v>
      </c>
      <c r="C10" t="s">
        <v>144</v>
      </c>
      <c r="D10" t="s">
        <v>146</v>
      </c>
      <c r="E10" t="s">
        <v>295</v>
      </c>
      <c r="F10">
        <v>2</v>
      </c>
      <c r="G10" t="s">
        <v>277</v>
      </c>
      <c r="H10" t="s">
        <v>278</v>
      </c>
    </row>
    <row r="11" spans="1:8" ht="31.5" x14ac:dyDescent="0.25">
      <c r="A11" t="s">
        <v>231</v>
      </c>
      <c r="B11" s="6" t="s">
        <v>235</v>
      </c>
      <c r="C11" t="s">
        <v>145</v>
      </c>
      <c r="D11" t="s">
        <v>147</v>
      </c>
      <c r="E11" t="s">
        <v>296</v>
      </c>
      <c r="F11">
        <v>4</v>
      </c>
      <c r="G11" t="s">
        <v>169</v>
      </c>
      <c r="H11" t="s">
        <v>171</v>
      </c>
    </row>
    <row r="12" spans="1:8" ht="31.5" x14ac:dyDescent="0.25">
      <c r="A12" t="s">
        <v>232</v>
      </c>
      <c r="B12" s="6" t="s">
        <v>236</v>
      </c>
      <c r="E12" t="s">
        <v>290</v>
      </c>
      <c r="F12">
        <v>1</v>
      </c>
      <c r="G12" t="s">
        <v>170</v>
      </c>
      <c r="H12" t="s">
        <v>172</v>
      </c>
    </row>
    <row r="13" spans="1:8" ht="31.5" x14ac:dyDescent="0.25">
      <c r="A13" t="s">
        <v>233</v>
      </c>
      <c r="B13" s="6" t="s">
        <v>237</v>
      </c>
      <c r="E13" t="s">
        <v>291</v>
      </c>
      <c r="F13">
        <v>1</v>
      </c>
    </row>
    <row r="14" spans="1:8" ht="31.5" x14ac:dyDescent="0.25">
      <c r="A14" t="s">
        <v>162</v>
      </c>
      <c r="B14" s="6" t="s">
        <v>241</v>
      </c>
      <c r="E14" t="s">
        <v>297</v>
      </c>
      <c r="F14">
        <v>1</v>
      </c>
    </row>
    <row r="15" spans="1:8" ht="31.5" x14ac:dyDescent="0.25">
      <c r="A15" t="s">
        <v>176</v>
      </c>
      <c r="B15" s="6" t="s">
        <v>257</v>
      </c>
      <c r="E15" t="s">
        <v>298</v>
      </c>
      <c r="F15">
        <v>1</v>
      </c>
    </row>
    <row r="16" spans="1:8" ht="31.5" x14ac:dyDescent="0.25">
      <c r="A16" t="s">
        <v>178</v>
      </c>
      <c r="B16" s="6" t="s">
        <v>258</v>
      </c>
      <c r="E16" t="s">
        <v>299</v>
      </c>
      <c r="F16">
        <v>1</v>
      </c>
    </row>
    <row r="17" spans="1:6" ht="31.5" x14ac:dyDescent="0.25">
      <c r="A17" t="s">
        <v>163</v>
      </c>
      <c r="B17" s="6" t="s">
        <v>242</v>
      </c>
      <c r="E17" t="s">
        <v>300</v>
      </c>
      <c r="F17">
        <v>1</v>
      </c>
    </row>
    <row r="18" spans="1:6" ht="31.5" x14ac:dyDescent="0.25">
      <c r="A18" t="s">
        <v>177</v>
      </c>
      <c r="B18" s="6" t="s">
        <v>243</v>
      </c>
    </row>
    <row r="19" spans="1:6" ht="31.5" x14ac:dyDescent="0.25">
      <c r="A19" t="s">
        <v>259</v>
      </c>
      <c r="B19" s="6" t="s">
        <v>240</v>
      </c>
    </row>
    <row r="20" spans="1:6" ht="31.5" x14ac:dyDescent="0.25">
      <c r="A20" t="s">
        <v>256</v>
      </c>
      <c r="B20" s="6" t="s">
        <v>249</v>
      </c>
    </row>
    <row r="21" spans="1:6" ht="31.5" x14ac:dyDescent="0.25">
      <c r="A21" t="s">
        <v>238</v>
      </c>
      <c r="B21" s="6" t="s">
        <v>244</v>
      </c>
    </row>
    <row r="22" spans="1:6" ht="31.5" x14ac:dyDescent="0.25">
      <c r="A22" t="s">
        <v>180</v>
      </c>
      <c r="B22" s="6" t="s">
        <v>245</v>
      </c>
    </row>
    <row r="23" spans="1:6" ht="31.5" x14ac:dyDescent="0.25">
      <c r="A23" t="s">
        <v>181</v>
      </c>
      <c r="B23" s="6" t="s">
        <v>246</v>
      </c>
    </row>
    <row r="24" spans="1:6" ht="31.5" x14ac:dyDescent="0.25">
      <c r="A24" t="s">
        <v>185</v>
      </c>
      <c r="B24" s="6" t="s">
        <v>247</v>
      </c>
    </row>
    <row r="25" spans="1:6" ht="31.5" x14ac:dyDescent="0.25">
      <c r="A25" t="s">
        <v>186</v>
      </c>
      <c r="B25" s="6" t="s">
        <v>182</v>
      </c>
    </row>
    <row r="26" spans="1:6" ht="31.5" x14ac:dyDescent="0.25">
      <c r="A26" t="s">
        <v>187</v>
      </c>
      <c r="B26" s="6" t="s">
        <v>239</v>
      </c>
    </row>
    <row r="27" spans="1:6" ht="31.5" x14ac:dyDescent="0.25">
      <c r="A27" t="s">
        <v>189</v>
      </c>
      <c r="B27" s="6" t="s">
        <v>183</v>
      </c>
    </row>
    <row r="28" spans="1:6" ht="31.5" x14ac:dyDescent="0.25">
      <c r="A28" t="s">
        <v>188</v>
      </c>
      <c r="B28" s="6" t="s">
        <v>184</v>
      </c>
    </row>
    <row r="29" spans="1:6" x14ac:dyDescent="0.25">
      <c r="A29" t="s">
        <v>179</v>
      </c>
      <c r="B29" t="s">
        <v>134</v>
      </c>
    </row>
    <row r="30" spans="1:6" ht="31.5" x14ac:dyDescent="0.25">
      <c r="A30" t="s">
        <v>225</v>
      </c>
      <c r="B30" s="6" t="s">
        <v>226</v>
      </c>
    </row>
    <row r="31" spans="1:6" ht="31.5" x14ac:dyDescent="0.25">
      <c r="A31" t="s">
        <v>227</v>
      </c>
      <c r="B31" s="6" t="s">
        <v>252</v>
      </c>
    </row>
    <row r="32" spans="1:6" ht="31.5" x14ac:dyDescent="0.25">
      <c r="A32" t="s">
        <v>228</v>
      </c>
      <c r="B32" s="6" t="s">
        <v>251</v>
      </c>
    </row>
    <row r="33" spans="1:2" ht="31.5" x14ac:dyDescent="0.25">
      <c r="A33" t="s">
        <v>248</v>
      </c>
      <c r="B33" s="6" t="s">
        <v>250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2023-05-14T12:36:32Z</dcterms:modified>
</cp:coreProperties>
</file>