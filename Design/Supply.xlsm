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Supply" sheetId="1" r:id="rId1"/>
    <sheet name="SupplyEffect" sheetId="8" r:id="rId2"/>
    <sheet name="Info" sheetId="6" r:id="rId3"/>
    <sheet name="Setting" sheetId="7" r:id="rId4"/>
    <sheet name="效果文字生成設定" sheetId="11" r:id="rId5"/>
    <sheet name="AISetting(太慢 不使用)" sheetId="10" r:id="rId6"/>
  </sheets>
  <functionGroups builtInGroupCount="17"/>
  <definedNames>
    <definedName name="APIKey">'AISetting(太慢 不使用)'!$A$1</definedName>
    <definedName name="EffectType">OFFSET(Setting!$A$10:$A$100,,,COUNTA(Setting!$A$10:$A$100))</definedName>
    <definedName name="NotBattleEffect">OFFSET(Setting!$I$10:$I$100,,,COUNTA(Setting!$I$10:$I$100))</definedName>
    <definedName name="Target">OFFSET(Setting!$C$10:$C$31,,,COUNTA(Setting!$C$10:$C$31))</definedName>
    <definedName name="Timing">OFFSET(Setting!$G$10:$G$100,,,COUNTA(Setting!$G$10:$G$100))</definedName>
    <definedName name="Token數">'AISetting(太慢 不使用)'!$C$1</definedName>
    <definedName name="目標文字">效果文字生成設定!$A$2</definedName>
    <definedName name="其他文字">效果文字生成設定!$A$6</definedName>
    <definedName name="效果文字">效果文字生成設定!$A$17</definedName>
    <definedName name="規格設定">'AISetting(太慢 不使用)'!$A$6</definedName>
    <definedName name="模型">'AISetting(太慢 不使用)'!$B$1</definedName>
    <definedName name="範例輸入">'AISetting(太慢 不使用)'!$A$20</definedName>
    <definedName name="範例輸出">'AISetting(太慢 不使用)'!$B$20</definedName>
    <definedName name="輸出規範">'AISetting(太慢 不使用)'!$A$6</definedName>
  </definedNames>
  <calcPr calcId="144525"/>
</workbook>
</file>

<file path=xl/calcChain.xml><?xml version="1.0" encoding="utf-8"?>
<calcChain xmlns="http://schemas.openxmlformats.org/spreadsheetml/2006/main">
  <c r="B18" i="8" l="1"/>
  <c r="A18" i="8"/>
  <c r="B17" i="8"/>
  <c r="A17" i="8"/>
  <c r="B16" i="8"/>
  <c r="A16" i="8"/>
  <c r="B15" i="8"/>
  <c r="A15" i="8"/>
  <c r="B14" i="8"/>
  <c r="A14" i="8"/>
  <c r="B13" i="8"/>
  <c r="A13" i="8"/>
  <c r="E24" i="1" l="1"/>
  <c r="E23" i="1"/>
  <c r="E22" i="1"/>
  <c r="E21" i="1"/>
  <c r="E20" i="1"/>
  <c r="E19" i="1"/>
  <c r="E34" i="1" l="1"/>
  <c r="E33" i="1" l="1"/>
  <c r="A23" i="8"/>
  <c r="B23" i="8"/>
  <c r="E18" i="1" l="1"/>
  <c r="B22" i="8" l="1"/>
  <c r="A22" i="8"/>
  <c r="E32" i="1"/>
  <c r="B12" i="8" l="1"/>
  <c r="A12" i="8"/>
  <c r="B11" i="8"/>
  <c r="A11" i="8"/>
  <c r="B10" i="8"/>
  <c r="A10" i="8"/>
  <c r="B9" i="8"/>
  <c r="A9" i="8"/>
  <c r="B8" i="8"/>
  <c r="A8" i="8"/>
  <c r="B7" i="8"/>
  <c r="A7" i="8"/>
  <c r="E17" i="1" l="1"/>
  <c r="E16" i="1"/>
  <c r="E15" i="1"/>
  <c r="E14" i="1"/>
  <c r="E13" i="1"/>
  <c r="E12" i="1"/>
  <c r="E11" i="1"/>
  <c r="E10" i="1"/>
  <c r="E9" i="1"/>
  <c r="E8" i="1" l="1"/>
  <c r="E7" i="1"/>
  <c r="E6" i="1"/>
  <c r="A38" i="8" l="1"/>
  <c r="A36" i="8"/>
  <c r="A34" i="8"/>
  <c r="A30" i="8"/>
  <c r="E53" i="1"/>
  <c r="B30" i="8" l="1"/>
  <c r="B28" i="8"/>
  <c r="A28" i="8"/>
  <c r="B38" i="8"/>
  <c r="B36" i="8"/>
  <c r="B34" i="8"/>
  <c r="E52" i="1"/>
  <c r="E51" i="1"/>
  <c r="E50" i="1"/>
  <c r="E45" i="1"/>
  <c r="E44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
※Melee代表近戰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專屬類道具無法在遊戲過程中隨機獲得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<sst xmlns="http://schemas.openxmlformats.org/spreadsheetml/2006/main" count="657" uniqueCount="458">
  <si>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</si>
  <si>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</si>
  <si>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</si>
  <si>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</si>
  <si>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</si>
  <si>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</si>
  <si>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</si>
  <si>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</si>
  <si>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</si>
  <si>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</si>
  <si>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</si>
  <si>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</si>
  <si>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</si>
  <si>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</si>
  <si>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</si>
  <si>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</si>
  <si>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</si>
  <si>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</si>
  <si>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</si>
  <si>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</si>
  <si>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</si>
  <si>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</si>
  <si>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</si>
  <si>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</si>
  <si>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</si>
  <si>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</si>
  <si>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</si>
  <si>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</si>
  <si>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</si>
  <si>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</si>
  <si>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</si>
  <si>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</si>
  <si>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</si>
  <si>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</si>
  <si>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</si>
  <si>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</si>
  <si>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</si>
  <si>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</si>
  <si>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</si>
  <si>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</si>
  <si>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</si>
  <si>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</si>
  <si>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</si>
  <si>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</si>
  <si>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</si>
  <si>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</si>
  <si>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</si>
  <si>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</si>
  <si>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</si>
  <si>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</si>
  <si>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</si>
  <si>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</si>
  <si>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</si>
  <si>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</si>
  <si>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</si>
  <si>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</si>
  <si>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</si>
  <si>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</si>
  <si>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</si>
  <si>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</si>
  <si>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</si>
  <si>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</si>
  <si>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</si>
  <si>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</si>
  <si>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</si>
  <si>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</si>
  <si>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</si>
  <si>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</si>
  <si>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</si>
  <si>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</si>
  <si>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</si>
  <si>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</si>
  <si>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</si>
  <si>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</si>
  <si>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</si>
  <si>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</si>
  <si>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</si>
  <si>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</si>
  <si>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</si>
  <si>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</si>
  <si>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</si>
  <si>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</si>
  <si>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</si>
  <si>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</si>
  <si>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</si>
  <si>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</si>
  <si>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</si>
  <si>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</si>
  <si>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</si>
  <si>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</si>
  <si>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</si>
  <si>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</si>
  <si>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</si>
  <si>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</si>
  <si>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</si>
  <si>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</si>
  <si>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</si>
  <si>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</si>
  <si>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</si>
  <si>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</si>
  <si>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</si>
  <si>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</si>
  <si>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</si>
  <si>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</si>
  <si>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</si>
  <si>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</si>
  <si>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</si>
  <si>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</si>
  <si>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</si>
  <si>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</si>
  <si>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</si>
  <si>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</si>
  <si>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</si>
  <si>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</si>
  <si>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</si>
  <si>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</si>
  <si>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</si>
  <si>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</si>
  <si>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</si>
  <si>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</si>
  <si>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</si>
  <si>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</si>
  <si>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</si>
  <si>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</si>
  <si>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</si>
  <si>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</si>
  <si>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</si>
  <si>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</si>
  <si>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</si>
  <si>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</si>
  <si>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</si>
  <si>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</si>
  <si>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</si>
  <si>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</si>
  <si>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</si>
  <si>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</si>
  <si>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</si>
  <si>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</si>
  <si>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</si>
  <si>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</si>
  <si>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</si>
  <si>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</si>
  <si>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</si>
  <si>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</si>
  <si>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</si>
  <si>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</si>
  <si>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</si>
  <si>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</si>
  <si>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</si>
  <si>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</si>
  <si>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</si>
  <si>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</si>
  <si>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</si>
  <si>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</si>
  <si>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</si>
  <si>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</si>
  <si>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</si>
  <si>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</si>
  <si>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</si>
  <si>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</si>
  <si>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</si>
  <si>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</si>
  <si>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</si>
  <si>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</si>
  <si>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</si>
  <si>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重踹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</si>
  <si>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</si>
  <si>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</si>
  <si>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</si>
  <si>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</si>
  <si>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</si>
  <si>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</si>
  <si>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</si>
  <si>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</si>
  <si>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</si>
  <si>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</si>
  <si>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</si>
  <si>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</si>
  <si>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</si>
  <si>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</si>
  <si>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</si>
  <si>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</si>
  <si>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</si>
  <si>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</si>
  <si>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</si>
  <si>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</si>
  <si>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</si>
  <si>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</si>
  <si>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</si>
  <si>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</si>
  <si>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</si>
  <si>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</si>
  <si>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</si>
  <si>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</si>
  <si>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</si>
  <si>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</si>
  <si>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</si>
  <si>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</si>
  <si>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</si>
  <si>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</si>
  <si>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</si>
  <si>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</si>
  <si>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</si>
  <si>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</si>
  <si>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</si>
  <si>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</si>
  <si>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</si>
  <si>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</si>
  <si>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</si>
  <si>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</si>
  <si>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</si>
  <si>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</si>
  <si>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</si>
  <si>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</si>
  <si>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</si>
  <si>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</si>
  <si>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</si>
  <si>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</si>
  <si>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</si>
  <si>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</si>
  <si>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</si>
  <si>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</si>
  <si>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</si>
  <si>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</si>
  <si>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</si>
  <si>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</si>
  <si>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</si>
  <si>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</si>
  <si>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</si>
  <si>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</si>
  <si>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</si>
  <si>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</si>
  <si>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</si>
  <si>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</si>
  <si>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</si>
  <si>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</si>
  <si>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</si>
  <si>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</si>
  <si>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</si>
  <si>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</si>
  <si>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</si>
  <si>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</si>
  <si>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</si>
  <si>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</si>
  <si>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</si>
  <si>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</si>
  <si>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</si>
  <si>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</si>
  <si>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</si>
  <si>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</si>
  <si>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</si>
  <si>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</si>
  <si>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</si>
  <si>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</si>
  <si>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</si>
  <si>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</si>
  <si>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</si>
  <si>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</si>
  <si>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</si>
  <si>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1</t>
    <phoneticPr fontId="1" type="noConversion"/>
  </si>
  <si>
    <t>步槍</t>
    <phoneticPr fontId="1" type="noConversion"/>
  </si>
  <si>
    <t>手術刀</t>
    <phoneticPr fontId="1" type="noConversion"/>
  </si>
  <si>
    <t>厚重百科全書</t>
    <phoneticPr fontId="1" type="noConversion"/>
  </si>
  <si>
    <t>十字吊墜</t>
    <phoneticPr fontId="1" type="noConversion"/>
  </si>
  <si>
    <t>Jewelry,Religious</t>
    <phoneticPr fontId="1" type="noConversion"/>
  </si>
  <si>
    <t>腳色肉搏</t>
    <phoneticPr fontId="1" type="noConversion"/>
  </si>
  <si>
    <t>最大生命+10</t>
    <phoneticPr fontId="1" type="noConversion"/>
  </si>
  <si>
    <t>60</t>
    <phoneticPr fontId="1" type="noConversion"/>
  </si>
  <si>
    <t>40</t>
    <phoneticPr fontId="1" type="noConversion"/>
  </si>
  <si>
    <t>Sharp,Melee</t>
    <phoneticPr fontId="1" type="noConversion"/>
  </si>
  <si>
    <t>Unarmed,Melee</t>
    <phoneticPr fontId="1" type="noConversion"/>
  </si>
  <si>
    <t>殺傷力極高的槍枝武器</t>
    <phoneticPr fontId="1" type="noConversion"/>
  </si>
  <si>
    <t>非常尖銳的小刀</t>
    <phoneticPr fontId="1" type="noConversion"/>
  </si>
  <si>
    <t>肉搏</t>
    <phoneticPr fontId="1" type="noConversion"/>
  </si>
  <si>
    <t>指定目標</t>
    <phoneticPr fontId="1" type="noConversion"/>
  </si>
  <si>
    <t>Target</t>
    <phoneticPr fontId="1" type="noConversion"/>
  </si>
  <si>
    <t>Unarmed,Melee</t>
    <phoneticPr fontId="1" type="noConversion"/>
  </si>
  <si>
    <t>Exclusive</t>
    <phoneticPr fontId="1" type="noConversion"/>
  </si>
  <si>
    <t>專屬</t>
    <phoneticPr fontId="1" type="noConversion"/>
  </si>
  <si>
    <t>厚外套</t>
    <phoneticPr fontId="1" type="noConversion"/>
  </si>
  <si>
    <t>Armor</t>
    <phoneticPr fontId="1" type="noConversion"/>
  </si>
  <si>
    <t>手套</t>
    <phoneticPr fontId="1" type="noConversion"/>
  </si>
  <si>
    <t>提供保護作用</t>
    <phoneticPr fontId="1" type="noConversion"/>
  </si>
  <si>
    <t>水晶項鍊</t>
    <phoneticPr fontId="1" type="noConversion"/>
  </si>
  <si>
    <t>Faith</t>
    <phoneticPr fontId="1" type="noConversion"/>
  </si>
  <si>
    <t>獲得信仰效果</t>
    <phoneticPr fontId="1" type="noConversion"/>
  </si>
  <si>
    <t>16</t>
    <phoneticPr fontId="1" type="noConversion"/>
  </si>
  <si>
    <t>10</t>
    <phoneticPr fontId="1" type="noConversion"/>
  </si>
  <si>
    <t>漫畫</t>
    <phoneticPr fontId="1" type="noConversion"/>
  </si>
  <si>
    <t>小刀</t>
    <phoneticPr fontId="1" type="noConversion"/>
  </si>
  <si>
    <t>有點生鏽的銳利小刀</t>
    <phoneticPr fontId="1" type="noConversion"/>
  </si>
  <si>
    <t>木棍</t>
    <phoneticPr fontId="1" type="noConversion"/>
  </si>
  <si>
    <t>普通的木棍</t>
    <phoneticPr fontId="1" type="noConversion"/>
  </si>
  <si>
    <t>Heavy,Blunt,Melee</t>
    <phoneticPr fontId="1" type="noConversion"/>
  </si>
  <si>
    <t>Blunt,Melee</t>
    <phoneticPr fontId="1" type="noConversion"/>
  </si>
  <si>
    <t>普通的斧頭</t>
    <phoneticPr fontId="1" type="noConversion"/>
  </si>
  <si>
    <t>釘槍</t>
    <phoneticPr fontId="1" type="noConversion"/>
  </si>
  <si>
    <t>普通的釘槍</t>
    <phoneticPr fontId="1" type="noConversion"/>
  </si>
  <si>
    <t>安全帽</t>
    <phoneticPr fontId="1" type="noConversion"/>
  </si>
  <si>
    <t>鐵環戒指</t>
    <phoneticPr fontId="1" type="noConversion"/>
  </si>
  <si>
    <t>手槍</t>
    <phoneticPr fontId="1" type="noConversion"/>
  </si>
  <si>
    <t>狼牙棒</t>
    <phoneticPr fontId="1" type="noConversion"/>
  </si>
  <si>
    <t>普通的手槍</t>
    <phoneticPr fontId="1" type="noConversion"/>
  </si>
  <si>
    <t>普通的狼牙棒</t>
    <phoneticPr fontId="1" type="noConversion"/>
  </si>
  <si>
    <t>短柄斧</t>
    <phoneticPr fontId="1" type="noConversion"/>
  </si>
  <si>
    <t>Bleeding</t>
  </si>
  <si>
    <t>5</t>
    <phoneticPr fontId="1" type="noConversion"/>
  </si>
  <si>
    <t>Firearm</t>
    <phoneticPr fontId="1" type="noConversion"/>
  </si>
  <si>
    <t>Firearm</t>
    <phoneticPr fontId="1" type="noConversion"/>
  </si>
  <si>
    <t>3</t>
    <phoneticPr fontId="1" type="noConversion"/>
  </si>
  <si>
    <t>15</t>
    <phoneticPr fontId="1" type="noConversion"/>
  </si>
  <si>
    <t>120</t>
    <phoneticPr fontId="1" type="noConversion"/>
  </si>
  <si>
    <t>一般道具</t>
    <phoneticPr fontId="1" type="noConversion"/>
  </si>
  <si>
    <t>劇本專屬</t>
    <phoneticPr fontId="1" type="noConversion"/>
  </si>
  <si>
    <t>腳色專用</t>
    <phoneticPr fontId="1" type="noConversion"/>
  </si>
  <si>
    <t>一般</t>
    <phoneticPr fontId="1" type="noConversion"/>
  </si>
  <si>
    <t>獻祭小刀</t>
    <phoneticPr fontId="1" type="noConversion"/>
  </si>
  <si>
    <t>鋒利的小刀</t>
    <phoneticPr fontId="1" type="noConversion"/>
  </si>
  <si>
    <t>30</t>
    <phoneticPr fontId="1" type="noConversion"/>
  </si>
  <si>
    <t>模型</t>
    <phoneticPr fontId="1" type="noConversion"/>
  </si>
  <si>
    <t>道具效果文字規則</t>
    <phoneticPr fontId="1" type="noConversion"/>
  </si>
  <si>
    <t>對目標造成15點傷害，並有50%的機率使其進入暈眩狀態。</t>
  </si>
  <si>
    <t>範例輸入</t>
    <phoneticPr fontId="1" type="noConversion"/>
  </si>
  <si>
    <t>範例輸出</t>
    <phoneticPr fontId="1" type="noConversion"/>
  </si>
  <si>
    <t>APIKey</t>
    <phoneticPr fontId="1" type="noConversion"/>
  </si>
  <si>
    <t>輸出規範</t>
    <phoneticPr fontId="1" type="noConversion"/>
  </si>
  <si>
    <t>80</t>
    <phoneticPr fontId="1" type="noConversion"/>
  </si>
  <si>
    <t>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</t>
    <phoneticPr fontId="1" type="noConversion"/>
  </si>
  <si>
    <t>Token數</t>
    <phoneticPr fontId="1" type="noConversion"/>
  </si>
  <si>
    <t>Enemy,Attack,20,0.8,Bleeding,3,1</t>
    <phoneticPr fontId="1" type="noConversion"/>
  </si>
  <si>
    <t>根據提供的範例格式回覆 格式以外的資料不用處理</t>
    <phoneticPr fontId="1" type="noConversion"/>
  </si>
  <si>
    <t>輸出要完全按照格式範例 不要有多餘的文字</t>
    <phoneticPr fontId="1" type="noConversion"/>
  </si>
  <si>
    <t>對目標造成最多15x3點傷害</t>
    <phoneticPr fontId="1" type="noConversion"/>
  </si>
  <si>
    <t>對目標造成15點傷害，50%機率暈眩x1</t>
    <phoneticPr fontId="1" type="noConversion"/>
  </si>
  <si>
    <t>機率不是100%就要寫出來 100%就要省略</t>
    <phoneticPr fontId="1" type="noConversion"/>
  </si>
  <si>
    <t>&amp;是分隔符號</t>
    <phoneticPr fontId="1" type="noConversion"/>
  </si>
  <si>
    <t>括弧內的文字只是說明不用輸出</t>
    <phoneticPr fontId="1" type="noConversion"/>
  </si>
  <si>
    <t>Myself,Attack,20,1&amp;Myself,Attack,10,1(&amp;是分隔符號)</t>
    <phoneticPr fontId="1" type="noConversion"/>
  </si>
  <si>
    <t>對自身造成20點傷害&amp;對自身造成10點傷害(&amp;是分隔符號)</t>
    <phoneticPr fontId="1" type="noConversion"/>
  </si>
  <si>
    <t>對目標造成10點傷害</t>
  </si>
  <si>
    <t>gpt-3.5-turbo</t>
    <phoneticPr fontId="1" type="noConversion"/>
  </si>
  <si>
    <t>只使用半形</t>
    <phoneticPr fontId="1" type="noConversion"/>
  </si>
  <si>
    <t>Enemy,Attack,15,0.8,Attack,15,1,Attack,15,0.6</t>
    <phoneticPr fontId="1" type="noConversion"/>
  </si>
  <si>
    <t>Enemy,Attack,15,1,Dizzy,1,0.5</t>
    <phoneticPr fontId="1" type="noConversion"/>
  </si>
  <si>
    <t>80%機率對目標造成20點傷害，出血x3</t>
    <phoneticPr fontId="1" type="noConversion"/>
  </si>
  <si>
    <t>gpt-3.5-turbo</t>
    <phoneticPr fontId="1" type="noConversion"/>
  </si>
  <si>
    <t>text-davinci-001</t>
    <phoneticPr fontId="1" type="noConversion"/>
  </si>
  <si>
    <t>text-davinci-002</t>
    <phoneticPr fontId="1" type="noConversion"/>
  </si>
  <si>
    <t>text-davinci-003</t>
    <phoneticPr fontId="1" type="noConversion"/>
  </si>
  <si>
    <t>text-ada-001</t>
    <phoneticPr fontId="1" type="noConversion"/>
  </si>
  <si>
    <t>對目標80%機率造成60點傷害</t>
  </si>
  <si>
    <t>對目標80%機率造成120點傷害</t>
  </si>
  <si>
    <t>對目標造成最多105點傷害</t>
  </si>
  <si>
    <t>對目標造成80點傷害，50%機率導致暈眩x1</t>
  </si>
  <si>
    <t>對目標造成16點傷害，50%機率導致暈眩x1</t>
  </si>
  <si>
    <t>Enemy</t>
    <phoneticPr fontId="1" type="noConversion"/>
  </si>
  <si>
    <t>Myself</t>
    <phoneticPr fontId="1" type="noConversion"/>
  </si>
  <si>
    <t>對目標</t>
    <phoneticPr fontId="1" type="noConversion"/>
  </si>
  <si>
    <t>對自身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</si>
  <si>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</si>
  <si>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</si>
  <si>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</si>
  <si>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</si>
  <si>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</si>
  <si>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</si>
  <si>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</si>
  <si>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</si>
  <si>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</si>
  <si>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</si>
  <si>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Point</t>
    <phoneticPr fontId="1" type="noConversion"/>
  </si>
  <si>
    <t>點</t>
    <phoneticPr fontId="1" type="noConversion"/>
  </si>
  <si>
    <t>Chance</t>
    <phoneticPr fontId="1" type="noConversion"/>
  </si>
  <si>
    <t>機率</t>
    <phoneticPr fontId="1" type="noConversion"/>
  </si>
  <si>
    <t>傷害</t>
    <phoneticPr fontId="1" type="noConversion"/>
  </si>
  <si>
    <t>神智傷害</t>
    <phoneticPr fontId="1" type="noConversion"/>
  </si>
  <si>
    <t>出血</t>
    <phoneticPr fontId="1" type="noConversion"/>
  </si>
  <si>
    <t>生命</t>
    <phoneticPr fontId="1" type="noConversion"/>
  </si>
  <si>
    <t>神智</t>
    <phoneticPr fontId="1" type="noConversion"/>
  </si>
  <si>
    <t>暈眩</t>
    <phoneticPr fontId="1" type="noConversion"/>
  </si>
  <si>
    <t>中毒</t>
    <phoneticPr fontId="1" type="noConversion"/>
  </si>
  <si>
    <t>恐懼</t>
    <phoneticPr fontId="1" type="noConversion"/>
  </si>
  <si>
    <t>崩潰</t>
    <phoneticPr fontId="1" type="noConversion"/>
  </si>
  <si>
    <t>迴避</t>
    <phoneticPr fontId="1" type="noConversion"/>
  </si>
  <si>
    <t>爆發</t>
    <phoneticPr fontId="1" type="noConversion"/>
  </si>
  <si>
    <t>衰弱</t>
    <phoneticPr fontId="1" type="noConversion"/>
  </si>
  <si>
    <t>恐怖</t>
    <phoneticPr fontId="1" type="noConversion"/>
  </si>
  <si>
    <t>保護</t>
    <phoneticPr fontId="1" type="noConversion"/>
  </si>
  <si>
    <t>堅毅</t>
    <phoneticPr fontId="1" type="noConversion"/>
  </si>
  <si>
    <t>解除中毒</t>
    <phoneticPr fontId="1" type="noConversion"/>
  </si>
  <si>
    <t>恢復神智</t>
    <phoneticPr fontId="1" type="noConversion"/>
  </si>
  <si>
    <t>強壯</t>
    <phoneticPr fontId="1" type="noConversion"/>
  </si>
  <si>
    <t>信仰</t>
    <phoneticPr fontId="1" type="noConversion"/>
  </si>
  <si>
    <t>逃跑</t>
    <phoneticPr fontId="1" type="noConversion"/>
  </si>
  <si>
    <t>尖刺保護</t>
    <phoneticPr fontId="1" type="noConversion"/>
  </si>
  <si>
    <t>靈體化</t>
    <phoneticPr fontId="1" type="noConversion"/>
  </si>
  <si>
    <t>致盲</t>
    <phoneticPr fontId="1" type="noConversion"/>
  </si>
  <si>
    <t>專注</t>
    <phoneticPr fontId="1" type="noConversion"/>
  </si>
  <si>
    <t>Grant</t>
    <phoneticPr fontId="1" type="noConversion"/>
  </si>
  <si>
    <t>賦予</t>
    <phoneticPr fontId="1" type="noConversion"/>
  </si>
  <si>
    <t>對目標造成40點傷害，導致出血x3</t>
  </si>
  <si>
    <t>對目標造成30點傷害，導致出血x3</t>
  </si>
  <si>
    <t>對目標造成20點傷害，導致暈眩x1</t>
  </si>
  <si>
    <t>對目標造成40點傷害，導致出血x5</t>
  </si>
  <si>
    <t>文字鍵值</t>
    <phoneticPr fontId="1" type="noConversion"/>
  </si>
  <si>
    <t>目標文字</t>
    <phoneticPr fontId="1" type="noConversion"/>
  </si>
  <si>
    <t>其他文字</t>
    <phoneticPr fontId="1" type="noConversion"/>
  </si>
  <si>
    <t>效果文字</t>
    <phoneticPr fontId="1" type="noConversion"/>
  </si>
  <si>
    <t>對應文字</t>
    <phoneticPr fontId="1" type="noConversion"/>
  </si>
  <si>
    <t>恢復</t>
    <phoneticPr fontId="1" type="noConversion"/>
  </si>
  <si>
    <t>Restore</t>
    <phoneticPr fontId="1" type="noConversion"/>
  </si>
  <si>
    <t>Armor</t>
    <phoneticPr fontId="1" type="noConversion"/>
  </si>
  <si>
    <t>Sharp</t>
    <phoneticPr fontId="1" type="noConversion"/>
  </si>
  <si>
    <t>Melee</t>
    <phoneticPr fontId="1" type="noConversion"/>
  </si>
  <si>
    <t>Blunt</t>
    <phoneticPr fontId="1" type="noConversion"/>
  </si>
  <si>
    <t>Firearm</t>
    <phoneticPr fontId="1" type="noConversion"/>
  </si>
  <si>
    <t>Unarmed</t>
    <phoneticPr fontId="1" type="noConversion"/>
  </si>
  <si>
    <t>Heavy</t>
    <phoneticPr fontId="1" type="noConversion"/>
  </si>
  <si>
    <t>Jewelry</t>
    <phoneticPr fontId="1" type="noConversion"/>
  </si>
  <si>
    <t>Religious</t>
    <phoneticPr fontId="1" type="noConversion"/>
  </si>
  <si>
    <t>手電筒</t>
    <phoneticPr fontId="1" type="noConversion"/>
  </si>
  <si>
    <t>照明工具</t>
    <phoneticPr fontId="1" type="noConversion"/>
  </si>
  <si>
    <t>Lighting</t>
    <phoneticPr fontId="1" type="noConversion"/>
  </si>
  <si>
    <t>Battle</t>
    <phoneticPr fontId="1" type="noConversion"/>
  </si>
  <si>
    <t>對目標造成20點傷害，50%機率導致出血x3</t>
  </si>
  <si>
    <t>35</t>
    <phoneticPr fontId="1" type="noConversion"/>
  </si>
  <si>
    <t>切肉刀</t>
    <phoneticPr fontId="1" type="noConversion"/>
  </si>
  <si>
    <t>25</t>
    <phoneticPr fontId="1" type="noConversion"/>
  </si>
  <si>
    <t>野獸的斷趾</t>
    <phoneticPr fontId="1" type="noConversion"/>
  </si>
  <si>
    <t>對目標造成25點傷害，導致出血x5</t>
  </si>
  <si>
    <t>BeastSeveredToe</t>
    <phoneticPr fontId="1" type="noConversion"/>
  </si>
  <si>
    <t>NotBattleEffect</t>
    <phoneticPr fontId="1" type="noConversion"/>
  </si>
  <si>
    <t>每經過兩個房間回復5點生命</t>
    <phoneticPr fontId="1" type="noConversion"/>
  </si>
  <si>
    <t>狀態數值</t>
    <phoneticPr fontId="1" type="noConversion"/>
  </si>
  <si>
    <t>野獸的斷趾
每經過兩個房間回復x點生命</t>
    <phoneticPr fontId="1" type="noConversion"/>
  </si>
  <si>
    <t>食物</t>
    <phoneticPr fontId="1" type="noConversion"/>
  </si>
  <si>
    <t>Food</t>
    <phoneticPr fontId="1" type="noConversion"/>
  </si>
  <si>
    <t>RestoreHP</t>
  </si>
  <si>
    <t>糖果</t>
    <phoneticPr fontId="1" type="noConversion"/>
  </si>
  <si>
    <t>RestoreSanP</t>
  </si>
  <si>
    <t>草莓蛋糕</t>
    <phoneticPr fontId="1" type="noConversion"/>
  </si>
  <si>
    <t>巧克力球</t>
    <phoneticPr fontId="1" type="noConversion"/>
  </si>
  <si>
    <t>雞腿便當</t>
    <phoneticPr fontId="1" type="noConversion"/>
  </si>
  <si>
    <t>奶油麵包</t>
    <phoneticPr fontId="1" type="noConversion"/>
  </si>
  <si>
    <t>蘋果</t>
    <phoneticPr fontId="1" type="noConversion"/>
  </si>
  <si>
    <t>Rest</t>
  </si>
  <si>
    <t>Rest</t>
    <phoneticPr fontId="1" type="noConversion"/>
  </si>
  <si>
    <t>持有時獲得狀態</t>
    <phoneticPr fontId="1" type="noConversion"/>
  </si>
  <si>
    <t>PassiveEffect</t>
    <phoneticPr fontId="1" type="noConversion"/>
  </si>
  <si>
    <t>PassiveEffectValue</t>
    <phoneticPr fontId="1" type="noConversion"/>
  </si>
  <si>
    <t>Faith</t>
  </si>
  <si>
    <t>Myself</t>
  </si>
  <si>
    <t>對自身恢復10點生命</t>
  </si>
  <si>
    <t>對自身恢復15點生命</t>
  </si>
  <si>
    <t>對自身恢復20點生命</t>
  </si>
  <si>
    <t>對自身恢復10點神智</t>
  </si>
  <si>
    <t>對自身恢復15點神智</t>
  </si>
  <si>
    <t>對自身恢復20點神智</t>
  </si>
  <si>
    <t>對目標造成35點傷害，50%機率導致暈眩x1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</si>
</sst>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4" fillId="2" borderId="0" xfId="0" applyFont="1" applyFill="1" applyAlignme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1" fillId="2" borderId="0" xfId="0" applyFont="1" applyFill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 wrapText="1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733425</xdr:colOff>
      <xdr:row>2</xdr:row>
      <xdr:rowOff>85726</xdr:rowOff>
    </xdr:from>
    <xdr:to>
      <xdr:col>2</xdr:col>
      <xdr:colOff>2095500</xdr:colOff>
      <xdr:row>3</xdr:row>
      <xdr:rowOff>133351</xdr:rowOff>
    </xdr:to>
    <xdr:sp macro="[0]!自動生成描述文字" textlink="">
      <xdr:nvSpPr>
        <xdr:cNvPr id="2" name="圓角矩形 1"/>
        <xdr:cNvSpPr/>
      </xdr:nvSpPr>
      <xdr:spPr>
        <a:xfrm>
          <a:off x="2238375" y="485776"/>
          <a:ext cx="1362075" cy="2476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自動填入效果文字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R238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G20" sqref="G20"/>
    </sheetView>
  </sheetViews>
  <sheetFormatPr defaultColWidth="7.5703125" defaultRowHeight="15.75" x14ac:dyDescent="0.25"/>
  <cols>
    <col min="1" max="1" width="7.5703125" style="10"/>
    <col min="2" max="2" width="15.85546875" style="10" customWidth="1"/>
    <col min="3" max="3" width="18.7109375" style="32" customWidth="1"/>
    <col min="4" max="4" width="7.5703125" style="13"/>
    <col min="5" max="5" width="11.5703125" style="15" customWidth="1"/>
    <col min="6" max="6" width="16.140625" style="10" customWidth="1"/>
    <col min="7" max="7" width="11.5703125" style="15" customWidth="1"/>
    <col min="8" max="8" width="10.28515625" style="10" customWidth="1"/>
    <col min="9" max="9" width="8.7109375" style="15" customWidth="1"/>
    <col min="10" max="10" width="11.140625" style="10" customWidth="1"/>
    <col min="11" max="11" width="12.140625" style="10" customWidth="1"/>
    <col min="12" max="12" width="14.140625" style="10" customWidth="1"/>
    <col min="13" max="13" width="12.5703125" style="10" customWidth="1"/>
    <col min="14" max="14" width="14.7109375" style="10" customWidth="1"/>
    <col min="15" max="15" width="22.85546875" style="10" customWidth="1"/>
    <col min="16" max="16" width="18.28515625" style="10" customWidth="1"/>
    <col min="17" max="17" width="12.42578125" customWidth="1"/>
    <col min="18" max="18" width="12.28515625" style="10" customWidth="1"/>
    <col min="19" max="16384" width="7.5703125" style="10"/>
  </cols>
  <sheetData>
    <row r="1" spans="1:18" s="9" customFormat="1" x14ac:dyDescent="0.25">
      <c r="A1" s="9" t="s">
        <v>122</v>
      </c>
      <c r="B1" s="9" t="s">
        <v>123</v>
      </c>
      <c r="C1" s="31" t="s">
        <v>126</v>
      </c>
      <c r="D1" s="12" t="s">
        <v>124</v>
      </c>
      <c r="E1" s="14" t="s">
        <v>125</v>
      </c>
      <c r="F1" s="9" t="s">
        <v>155</v>
      </c>
      <c r="G1" s="14" t="s">
        <v>277</v>
      </c>
      <c r="H1" s="9" t="s">
        <v>275</v>
      </c>
      <c r="I1" s="14" t="s">
        <v>160</v>
      </c>
      <c r="J1" s="9" t="s">
        <v>150</v>
      </c>
      <c r="K1" s="9" t="s">
        <v>151</v>
      </c>
      <c r="L1" s="9" t="s">
        <v>167</v>
      </c>
      <c r="M1" s="9" t="s">
        <v>128</v>
      </c>
      <c r="N1" s="9" t="s">
        <v>161</v>
      </c>
      <c r="O1" s="9" t="s">
        <v>447</v>
      </c>
      <c r="P1" s="9" t="s">
        <v>448</v>
      </c>
      <c r="Q1" s="14" t="s">
        <v>255</v>
      </c>
      <c r="R1" s="14" t="s">
        <v>256</v>
      </c>
    </row>
    <row r="2" spans="1:18" s="9" customFormat="1" ht="15" customHeight="1" x14ac:dyDescent="0.25">
      <c r="A2" s="9" t="s">
        <v>77</v>
      </c>
      <c r="B2" s="9" t="s">
        <v>80</v>
      </c>
      <c r="C2" s="31" t="s">
        <v>127</v>
      </c>
      <c r="D2" s="12" t="s">
        <v>81</v>
      </c>
      <c r="E2" s="14" t="s">
        <v>254</v>
      </c>
      <c r="F2" s="9" t="s">
        <v>156</v>
      </c>
      <c r="G2" s="14" t="s">
        <v>278</v>
      </c>
      <c r="H2" s="9" t="s">
        <v>274</v>
      </c>
      <c r="I2" s="14" t="s">
        <v>159</v>
      </c>
      <c r="J2" s="9" t="s">
        <v>152</v>
      </c>
      <c r="K2" s="9" t="s">
        <v>153</v>
      </c>
      <c r="L2" s="9" t="s">
        <v>166</v>
      </c>
      <c r="M2" s="9" t="s">
        <v>129</v>
      </c>
      <c r="N2" s="9" t="s">
        <v>130</v>
      </c>
      <c r="O2" s="9" t="s">
        <v>446</v>
      </c>
      <c r="P2" s="9" t="s">
        <v>432</v>
      </c>
      <c r="Q2" s="14" t="s">
        <v>257</v>
      </c>
      <c r="R2" s="14" t="s">
        <v>258</v>
      </c>
    </row>
    <row r="5" spans="1:18" x14ac:dyDescent="0.25">
      <c r="B5" s="12" t="s">
        <v>315</v>
      </c>
      <c r="C5" s="16"/>
      <c r="E5" s="10"/>
      <c r="G5" s="10"/>
      <c r="I5" s="10"/>
      <c r="Q5" s="10"/>
    </row>
    <row r="6" spans="1:18" x14ac:dyDescent="0.25">
      <c r="A6" s="10">
        <v>1</v>
      </c>
      <c r="B6" s="13" t="s">
        <v>279</v>
      </c>
      <c r="C6" s="16" t="s">
        <v>282</v>
      </c>
      <c r="D6" s="13">
        <v>1</v>
      </c>
      <c r="E6" s="10" t="str">
        <f t="shared" ref="E6:E18" si="0">"supply"&amp;A6</f>
        <v>supply1</v>
      </c>
      <c r="F6" s="10" t="s">
        <v>280</v>
      </c>
      <c r="G6" s="10"/>
      <c r="I6" s="10"/>
      <c r="J6" s="10">
        <v>10</v>
      </c>
      <c r="Q6" s="10"/>
    </row>
    <row r="7" spans="1:18" x14ac:dyDescent="0.25">
      <c r="A7" s="10">
        <v>2</v>
      </c>
      <c r="B7" s="13" t="s">
        <v>281</v>
      </c>
      <c r="C7" s="16" t="s">
        <v>282</v>
      </c>
      <c r="D7" s="13">
        <v>1</v>
      </c>
      <c r="E7" s="10" t="str">
        <f t="shared" si="0"/>
        <v>supply2</v>
      </c>
      <c r="F7" s="10" t="s">
        <v>280</v>
      </c>
      <c r="G7" s="10"/>
      <c r="I7" s="10"/>
      <c r="J7" s="10">
        <v>5</v>
      </c>
      <c r="Q7" s="10"/>
    </row>
    <row r="8" spans="1:18" x14ac:dyDescent="0.25">
      <c r="A8" s="10">
        <v>3</v>
      </c>
      <c r="B8" s="13" t="s">
        <v>299</v>
      </c>
      <c r="C8" s="16" t="s">
        <v>282</v>
      </c>
      <c r="D8" s="13">
        <v>1</v>
      </c>
      <c r="E8" s="10" t="str">
        <f t="shared" si="0"/>
        <v>supply3</v>
      </c>
      <c r="F8" s="10" t="s">
        <v>280</v>
      </c>
      <c r="G8" s="10"/>
      <c r="I8" s="10"/>
      <c r="K8" s="10">
        <v>5</v>
      </c>
      <c r="Q8" s="10"/>
    </row>
    <row r="9" spans="1:18" x14ac:dyDescent="0.25">
      <c r="A9" s="10">
        <v>4</v>
      </c>
      <c r="B9" s="13" t="s">
        <v>283</v>
      </c>
      <c r="C9" s="16" t="s">
        <v>282</v>
      </c>
      <c r="D9" s="13">
        <v>1</v>
      </c>
      <c r="E9" s="10" t="str">
        <f t="shared" si="0"/>
        <v>supply4</v>
      </c>
      <c r="F9" s="10" t="s">
        <v>280</v>
      </c>
      <c r="G9" s="10"/>
      <c r="I9" s="10"/>
      <c r="K9" s="10">
        <v>10</v>
      </c>
      <c r="Q9" s="10"/>
    </row>
    <row r="10" spans="1:18" ht="31.5" x14ac:dyDescent="0.25">
      <c r="A10" s="10">
        <v>5</v>
      </c>
      <c r="B10" s="13" t="s">
        <v>289</v>
      </c>
      <c r="C10" s="16" t="s">
        <v>290</v>
      </c>
      <c r="D10" s="13">
        <v>1</v>
      </c>
      <c r="E10" s="10" t="str">
        <f t="shared" si="0"/>
        <v>supply5</v>
      </c>
      <c r="F10" s="10" t="s">
        <v>269</v>
      </c>
      <c r="G10" s="10"/>
      <c r="H10" s="10" t="s">
        <v>143</v>
      </c>
      <c r="I10" s="10"/>
      <c r="L10" s="10" t="s">
        <v>171</v>
      </c>
      <c r="M10" s="10">
        <v>2</v>
      </c>
      <c r="N10" s="10">
        <v>1</v>
      </c>
      <c r="Q10" s="10"/>
    </row>
    <row r="11" spans="1:18" x14ac:dyDescent="0.25">
      <c r="A11" s="10">
        <v>6</v>
      </c>
      <c r="B11" s="13" t="s">
        <v>291</v>
      </c>
      <c r="C11" s="16" t="s">
        <v>292</v>
      </c>
      <c r="D11" s="13">
        <v>1</v>
      </c>
      <c r="E11" s="10" t="str">
        <f t="shared" si="0"/>
        <v>supply6</v>
      </c>
      <c r="F11" s="10" t="s">
        <v>294</v>
      </c>
      <c r="G11" s="10"/>
      <c r="H11" s="10" t="s">
        <v>143</v>
      </c>
      <c r="I11" s="10"/>
      <c r="L11" s="10" t="s">
        <v>171</v>
      </c>
      <c r="M11" s="10">
        <v>3</v>
      </c>
      <c r="N11" s="10">
        <v>2</v>
      </c>
      <c r="Q11" s="10"/>
    </row>
    <row r="12" spans="1:18" x14ac:dyDescent="0.25">
      <c r="A12" s="10">
        <v>7</v>
      </c>
      <c r="B12" s="13" t="s">
        <v>304</v>
      </c>
      <c r="C12" s="16" t="s">
        <v>295</v>
      </c>
      <c r="D12" s="13">
        <v>1</v>
      </c>
      <c r="E12" s="10" t="str">
        <f t="shared" si="0"/>
        <v>supply7</v>
      </c>
      <c r="F12" s="10" t="s">
        <v>269</v>
      </c>
      <c r="G12" s="10"/>
      <c r="H12" s="10" t="s">
        <v>143</v>
      </c>
      <c r="I12" s="10"/>
      <c r="L12" s="10" t="s">
        <v>171</v>
      </c>
      <c r="M12" s="10">
        <v>3</v>
      </c>
      <c r="N12" s="10">
        <v>1</v>
      </c>
      <c r="Q12" s="10"/>
    </row>
    <row r="13" spans="1:18" x14ac:dyDescent="0.25">
      <c r="A13" s="10">
        <v>8</v>
      </c>
      <c r="B13" s="13" t="s">
        <v>296</v>
      </c>
      <c r="C13" s="16" t="s">
        <v>297</v>
      </c>
      <c r="D13" s="13">
        <v>1</v>
      </c>
      <c r="E13" s="10" t="str">
        <f t="shared" si="0"/>
        <v>supply8</v>
      </c>
      <c r="G13" s="10"/>
      <c r="H13" s="10" t="s">
        <v>143</v>
      </c>
      <c r="I13" s="10"/>
      <c r="L13" s="10" t="s">
        <v>171</v>
      </c>
      <c r="M13" s="10">
        <v>4</v>
      </c>
      <c r="N13" s="10">
        <v>2</v>
      </c>
      <c r="Q13" s="10"/>
    </row>
    <row r="14" spans="1:18" x14ac:dyDescent="0.25">
      <c r="A14" s="10">
        <v>9</v>
      </c>
      <c r="B14" s="13" t="s">
        <v>298</v>
      </c>
      <c r="C14" s="16" t="s">
        <v>282</v>
      </c>
      <c r="D14" s="13">
        <v>2</v>
      </c>
      <c r="E14" s="10" t="str">
        <f t="shared" si="0"/>
        <v>supply9</v>
      </c>
      <c r="G14" s="10"/>
      <c r="I14" s="10"/>
      <c r="J14" s="10">
        <v>15</v>
      </c>
      <c r="Q14" s="10"/>
    </row>
    <row r="15" spans="1:18" x14ac:dyDescent="0.25">
      <c r="A15" s="10">
        <v>10</v>
      </c>
      <c r="B15" s="13" t="s">
        <v>288</v>
      </c>
      <c r="C15" s="16" t="s">
        <v>282</v>
      </c>
      <c r="D15" s="13">
        <v>2</v>
      </c>
      <c r="E15" s="10" t="str">
        <f t="shared" si="0"/>
        <v>supply10</v>
      </c>
      <c r="G15" s="10"/>
      <c r="I15" s="10"/>
      <c r="K15" s="10">
        <v>15</v>
      </c>
      <c r="Q15" s="10"/>
    </row>
    <row r="16" spans="1:18" x14ac:dyDescent="0.25">
      <c r="A16" s="10">
        <v>11</v>
      </c>
      <c r="B16" s="13" t="s">
        <v>300</v>
      </c>
      <c r="C16" s="16" t="s">
        <v>302</v>
      </c>
      <c r="D16" s="13">
        <v>2</v>
      </c>
      <c r="E16" s="10" t="str">
        <f t="shared" si="0"/>
        <v>supply11</v>
      </c>
      <c r="F16" s="10" t="s">
        <v>308</v>
      </c>
      <c r="G16" s="10"/>
      <c r="H16" s="10" t="s">
        <v>143</v>
      </c>
      <c r="I16" s="10"/>
      <c r="L16" s="10" t="s">
        <v>171</v>
      </c>
      <c r="M16" s="10">
        <v>3</v>
      </c>
      <c r="N16" s="10">
        <v>2</v>
      </c>
      <c r="Q16" s="10"/>
    </row>
    <row r="17" spans="1:17" x14ac:dyDescent="0.25">
      <c r="A17" s="10">
        <v>12</v>
      </c>
      <c r="B17" s="13" t="s">
        <v>301</v>
      </c>
      <c r="C17" s="16" t="s">
        <v>303</v>
      </c>
      <c r="D17" s="13">
        <v>2</v>
      </c>
      <c r="E17" s="10" t="str">
        <f t="shared" si="0"/>
        <v>supply12</v>
      </c>
      <c r="F17" s="10" t="s">
        <v>294</v>
      </c>
      <c r="G17" s="10"/>
      <c r="H17" s="10" t="s">
        <v>143</v>
      </c>
      <c r="I17" s="10"/>
      <c r="L17" s="10" t="s">
        <v>422</v>
      </c>
      <c r="M17" s="10">
        <v>5</v>
      </c>
      <c r="N17" s="10">
        <v>2</v>
      </c>
      <c r="Q17" s="10"/>
    </row>
    <row r="18" spans="1:17" x14ac:dyDescent="0.25">
      <c r="A18" s="10">
        <v>14</v>
      </c>
      <c r="B18" s="13" t="s">
        <v>419</v>
      </c>
      <c r="C18" s="16" t="s">
        <v>420</v>
      </c>
      <c r="D18" s="13">
        <v>1</v>
      </c>
      <c r="E18" s="10" t="str">
        <f t="shared" si="0"/>
        <v>supply14</v>
      </c>
      <c r="F18" s="10" t="s">
        <v>421</v>
      </c>
      <c r="G18" s="10"/>
      <c r="I18" s="10"/>
      <c r="Q18" s="10"/>
    </row>
    <row r="19" spans="1:17" x14ac:dyDescent="0.25">
      <c r="A19" s="10">
        <v>15</v>
      </c>
      <c r="B19" s="13" t="s">
        <v>443</v>
      </c>
      <c r="C19" s="16" t="s">
        <v>434</v>
      </c>
      <c r="D19" s="13">
        <v>1</v>
      </c>
      <c r="E19" s="10" t="str">
        <f t="shared" ref="E19:E20" si="1">"supply"&amp;A19</f>
        <v>supply15</v>
      </c>
      <c r="F19" s="10" t="s">
        <v>435</v>
      </c>
      <c r="G19" s="10"/>
      <c r="H19" s="10" t="s">
        <v>450</v>
      </c>
      <c r="I19" s="10"/>
      <c r="L19" s="10" t="s">
        <v>444</v>
      </c>
      <c r="M19" s="10">
        <v>1</v>
      </c>
      <c r="Q19" s="10"/>
    </row>
    <row r="20" spans="1:17" x14ac:dyDescent="0.25">
      <c r="A20" s="10">
        <v>16</v>
      </c>
      <c r="B20" s="13" t="s">
        <v>442</v>
      </c>
      <c r="C20" s="16" t="s">
        <v>434</v>
      </c>
      <c r="D20" s="13">
        <v>1</v>
      </c>
      <c r="E20" s="10" t="str">
        <f t="shared" si="1"/>
        <v>supply16</v>
      </c>
      <c r="F20" s="10" t="s">
        <v>435</v>
      </c>
      <c r="G20" s="10"/>
      <c r="H20" s="10" t="s">
        <v>450</v>
      </c>
      <c r="I20" s="10"/>
      <c r="L20" s="10" t="s">
        <v>444</v>
      </c>
      <c r="M20" s="10">
        <v>1</v>
      </c>
      <c r="Q20" s="10"/>
    </row>
    <row r="21" spans="1:17" x14ac:dyDescent="0.25">
      <c r="A21" s="10">
        <v>17</v>
      </c>
      <c r="B21" s="13" t="s">
        <v>441</v>
      </c>
      <c r="C21" s="16" t="s">
        <v>434</v>
      </c>
      <c r="D21" s="13">
        <v>2</v>
      </c>
      <c r="E21" s="10" t="str">
        <f t="shared" ref="E21:E23" si="2">"supply"&amp;A21</f>
        <v>supply17</v>
      </c>
      <c r="F21" s="10" t="s">
        <v>435</v>
      </c>
      <c r="G21" s="10"/>
      <c r="H21" s="10" t="s">
        <v>450</v>
      </c>
      <c r="I21" s="10"/>
      <c r="L21" s="10" t="s">
        <v>444</v>
      </c>
      <c r="M21" s="10">
        <v>1</v>
      </c>
      <c r="Q21" s="10"/>
    </row>
    <row r="22" spans="1:17" x14ac:dyDescent="0.25">
      <c r="A22" s="10">
        <v>18</v>
      </c>
      <c r="B22" s="13" t="s">
        <v>437</v>
      </c>
      <c r="C22" s="16" t="s">
        <v>434</v>
      </c>
      <c r="D22" s="13">
        <v>1</v>
      </c>
      <c r="E22" s="10" t="str">
        <f t="shared" si="2"/>
        <v>supply18</v>
      </c>
      <c r="F22" s="10" t="s">
        <v>435</v>
      </c>
      <c r="G22" s="10"/>
      <c r="H22" s="10" t="s">
        <v>450</v>
      </c>
      <c r="I22" s="10"/>
      <c r="L22" s="10" t="s">
        <v>444</v>
      </c>
      <c r="M22" s="10">
        <v>1</v>
      </c>
      <c r="Q22" s="10"/>
    </row>
    <row r="23" spans="1:17" x14ac:dyDescent="0.25">
      <c r="A23" s="10">
        <v>19</v>
      </c>
      <c r="B23" s="13" t="s">
        <v>440</v>
      </c>
      <c r="C23" s="16" t="s">
        <v>434</v>
      </c>
      <c r="D23" s="13">
        <v>1</v>
      </c>
      <c r="E23" s="10" t="str">
        <f t="shared" si="2"/>
        <v>supply19</v>
      </c>
      <c r="F23" s="10" t="s">
        <v>435</v>
      </c>
      <c r="G23" s="10"/>
      <c r="H23" s="10" t="s">
        <v>450</v>
      </c>
      <c r="I23" s="10"/>
      <c r="L23" s="10" t="s">
        <v>444</v>
      </c>
      <c r="M23" s="10">
        <v>1</v>
      </c>
      <c r="Q23" s="10"/>
    </row>
    <row r="24" spans="1:17" x14ac:dyDescent="0.25">
      <c r="A24" s="10">
        <v>20</v>
      </c>
      <c r="B24" s="13" t="s">
        <v>439</v>
      </c>
      <c r="C24" s="16" t="s">
        <v>434</v>
      </c>
      <c r="D24" s="13">
        <v>2</v>
      </c>
      <c r="E24" s="10" t="str">
        <f t="shared" ref="E24" si="3">"supply"&amp;A24</f>
        <v>supply20</v>
      </c>
      <c r="F24" s="10" t="s">
        <v>435</v>
      </c>
      <c r="G24" s="10"/>
      <c r="H24" s="10" t="s">
        <v>450</v>
      </c>
      <c r="I24" s="10"/>
      <c r="L24" s="10" t="s">
        <v>444</v>
      </c>
      <c r="M24" s="10">
        <v>1</v>
      </c>
      <c r="Q24" s="10"/>
    </row>
    <row r="25" spans="1:17" x14ac:dyDescent="0.25">
      <c r="B25" s="13"/>
      <c r="C25" s="16"/>
      <c r="E25" s="10"/>
      <c r="G25" s="10"/>
      <c r="I25" s="10"/>
      <c r="Q25" s="10"/>
    </row>
    <row r="26" spans="1:17" x14ac:dyDescent="0.25">
      <c r="B26" s="13"/>
      <c r="C26" s="16"/>
      <c r="E26" s="10"/>
      <c r="G26" s="10"/>
      <c r="I26" s="10"/>
      <c r="Q26" s="10"/>
    </row>
    <row r="27" spans="1:17" x14ac:dyDescent="0.25">
      <c r="B27" s="13"/>
      <c r="C27" s="16"/>
      <c r="E27" s="10"/>
      <c r="G27" s="10"/>
      <c r="I27" s="10"/>
      <c r="Q27" s="10"/>
    </row>
    <row r="31" spans="1:17" x14ac:dyDescent="0.25">
      <c r="B31" s="12" t="s">
        <v>313</v>
      </c>
      <c r="C31" s="16"/>
      <c r="E31" s="10"/>
      <c r="G31" s="10"/>
      <c r="I31" s="10"/>
      <c r="Q31" s="10"/>
    </row>
    <row r="32" spans="1:17" x14ac:dyDescent="0.25">
      <c r="A32" s="10">
        <v>5001</v>
      </c>
      <c r="B32" s="10" t="s">
        <v>316</v>
      </c>
      <c r="C32" s="32" t="s">
        <v>317</v>
      </c>
      <c r="D32" s="13">
        <v>2</v>
      </c>
      <c r="E32" s="10" t="str">
        <f t="shared" ref="E32" si="4">"supply"&amp;A32</f>
        <v>supply5001</v>
      </c>
      <c r="F32" s="10" t="s">
        <v>269</v>
      </c>
      <c r="G32" s="10" t="b">
        <v>1</v>
      </c>
      <c r="H32" s="10" t="s">
        <v>143</v>
      </c>
      <c r="L32" s="10" t="s">
        <v>171</v>
      </c>
      <c r="M32" s="10">
        <v>3</v>
      </c>
      <c r="N32" s="10">
        <v>1</v>
      </c>
    </row>
    <row r="33" spans="1:17" x14ac:dyDescent="0.25">
      <c r="A33" s="10">
        <v>5002</v>
      </c>
      <c r="B33" s="10" t="s">
        <v>425</v>
      </c>
      <c r="C33" s="32" t="s">
        <v>317</v>
      </c>
      <c r="D33" s="13">
        <v>2</v>
      </c>
      <c r="E33" s="10" t="str">
        <f t="shared" ref="E33" si="5">"supply"&amp;A33</f>
        <v>supply5002</v>
      </c>
      <c r="F33" s="10" t="s">
        <v>269</v>
      </c>
      <c r="G33" s="10" t="b">
        <v>1</v>
      </c>
      <c r="H33" s="10" t="s">
        <v>143</v>
      </c>
      <c r="I33" s="29"/>
      <c r="L33" s="10" t="s">
        <v>168</v>
      </c>
      <c r="M33" s="10">
        <v>3</v>
      </c>
      <c r="N33" s="10">
        <v>1</v>
      </c>
    </row>
    <row r="34" spans="1:17" x14ac:dyDescent="0.25">
      <c r="A34" s="10">
        <v>5003</v>
      </c>
      <c r="B34" s="10" t="s">
        <v>427</v>
      </c>
      <c r="C34" s="32" t="s">
        <v>431</v>
      </c>
      <c r="D34" s="13">
        <v>2</v>
      </c>
      <c r="E34" s="10" t="str">
        <f t="shared" ref="E34" si="6">"supply"&amp;A34</f>
        <v>supply5003</v>
      </c>
      <c r="G34" s="10" t="b">
        <v>1</v>
      </c>
      <c r="I34" s="30"/>
      <c r="O34" s="10" t="s">
        <v>429</v>
      </c>
      <c r="P34" s="10">
        <v>5</v>
      </c>
    </row>
    <row r="42" spans="1:17" x14ac:dyDescent="0.25">
      <c r="B42" s="13"/>
      <c r="C42" s="16"/>
      <c r="E42" s="10"/>
      <c r="G42" s="10"/>
      <c r="I42" s="10"/>
      <c r="Q42" s="10"/>
    </row>
    <row r="43" spans="1:17" x14ac:dyDescent="0.25">
      <c r="B43" s="12" t="s">
        <v>265</v>
      </c>
      <c r="C43" s="16"/>
      <c r="E43" s="10"/>
      <c r="G43" s="10"/>
      <c r="I43" s="10"/>
      <c r="Q43" s="10"/>
    </row>
    <row r="44" spans="1:17" x14ac:dyDescent="0.25">
      <c r="A44" s="10">
        <v>10001</v>
      </c>
      <c r="B44" s="13" t="s">
        <v>165</v>
      </c>
      <c r="C44" s="16" t="s">
        <v>273</v>
      </c>
      <c r="D44" s="13">
        <v>1</v>
      </c>
      <c r="E44" s="10" t="str">
        <f>"supply"&amp;A44</f>
        <v>supply10001</v>
      </c>
      <c r="F44" s="10" t="s">
        <v>276</v>
      </c>
      <c r="G44" s="10" t="b">
        <v>1</v>
      </c>
      <c r="H44" s="10" t="s">
        <v>143</v>
      </c>
      <c r="I44" s="10"/>
      <c r="L44" s="10" t="s">
        <v>171</v>
      </c>
      <c r="N44" s="10">
        <v>2</v>
      </c>
      <c r="Q44" s="10"/>
    </row>
    <row r="45" spans="1:17" x14ac:dyDescent="0.25">
      <c r="A45" s="10">
        <v>10002</v>
      </c>
      <c r="B45" s="13" t="s">
        <v>172</v>
      </c>
      <c r="C45" s="16" t="s">
        <v>273</v>
      </c>
      <c r="D45" s="13">
        <v>1</v>
      </c>
      <c r="E45" s="10" t="str">
        <f>"supply"&amp;A45</f>
        <v>supply10002</v>
      </c>
      <c r="F45" s="10" t="s">
        <v>270</v>
      </c>
      <c r="G45" s="10" t="b">
        <v>1</v>
      </c>
      <c r="H45" s="10" t="s">
        <v>143</v>
      </c>
      <c r="I45" s="10"/>
      <c r="L45" s="10" t="s">
        <v>171</v>
      </c>
      <c r="N45" s="10">
        <v>1</v>
      </c>
      <c r="Q45" s="10"/>
    </row>
    <row r="46" spans="1:17" x14ac:dyDescent="0.25">
      <c r="B46" s="13"/>
      <c r="C46" s="16"/>
      <c r="E46" s="10"/>
      <c r="G46" s="10"/>
      <c r="I46" s="10"/>
      <c r="Q46" s="10"/>
    </row>
    <row r="48" spans="1:17" x14ac:dyDescent="0.25">
      <c r="B48" s="13"/>
      <c r="C48" s="16"/>
      <c r="E48" s="10"/>
      <c r="G48" s="10"/>
      <c r="I48" s="10"/>
      <c r="Q48" s="10"/>
    </row>
    <row r="49" spans="1:17" x14ac:dyDescent="0.25">
      <c r="B49" s="12" t="s">
        <v>314</v>
      </c>
      <c r="C49" s="16"/>
      <c r="E49" s="10"/>
      <c r="G49" s="10"/>
      <c r="I49" s="10"/>
      <c r="Q49" s="10"/>
    </row>
    <row r="50" spans="1:17" x14ac:dyDescent="0.25">
      <c r="A50" s="10">
        <v>11001</v>
      </c>
      <c r="B50" s="13" t="s">
        <v>262</v>
      </c>
      <c r="C50" s="16" t="s">
        <v>266</v>
      </c>
      <c r="D50" s="13">
        <v>1</v>
      </c>
      <c r="E50" s="10" t="str">
        <f>"supply"&amp;A50</f>
        <v>supply11001</v>
      </c>
      <c r="F50" s="10" t="s">
        <v>293</v>
      </c>
      <c r="G50" s="10" t="b">
        <v>1</v>
      </c>
      <c r="H50" s="10" t="s">
        <v>143</v>
      </c>
      <c r="I50" s="10"/>
      <c r="J50" s="10">
        <v>10</v>
      </c>
      <c r="L50" s="10" t="s">
        <v>168</v>
      </c>
      <c r="M50" s="10">
        <v>4</v>
      </c>
      <c r="N50" s="10">
        <v>1</v>
      </c>
      <c r="Q50" s="10"/>
    </row>
    <row r="51" spans="1:17" ht="31.5" x14ac:dyDescent="0.25">
      <c r="A51" s="10">
        <v>11002</v>
      </c>
      <c r="B51" s="13" t="s">
        <v>260</v>
      </c>
      <c r="C51" s="16" t="s">
        <v>271</v>
      </c>
      <c r="D51" s="13">
        <v>3</v>
      </c>
      <c r="E51" s="10" t="str">
        <f>"supply"&amp;A51</f>
        <v>supply11002</v>
      </c>
      <c r="F51" s="10" t="s">
        <v>307</v>
      </c>
      <c r="G51" s="10" t="b">
        <v>1</v>
      </c>
      <c r="H51" s="10" t="s">
        <v>143</v>
      </c>
      <c r="I51" s="10"/>
      <c r="L51" s="10" t="s">
        <v>168</v>
      </c>
      <c r="M51" s="10">
        <v>3</v>
      </c>
      <c r="N51" s="10">
        <v>2</v>
      </c>
      <c r="Q51" s="10"/>
    </row>
    <row r="52" spans="1:17" x14ac:dyDescent="0.25">
      <c r="A52" s="10">
        <v>11003</v>
      </c>
      <c r="B52" s="13" t="s">
        <v>261</v>
      </c>
      <c r="C52" s="16" t="s">
        <v>272</v>
      </c>
      <c r="D52" s="13">
        <v>2</v>
      </c>
      <c r="E52" s="10" t="str">
        <f>"supply"&amp;A52</f>
        <v>supply11003</v>
      </c>
      <c r="F52" s="10" t="s">
        <v>269</v>
      </c>
      <c r="G52" s="10" t="b">
        <v>1</v>
      </c>
      <c r="H52" s="10" t="s">
        <v>143</v>
      </c>
      <c r="I52" s="10"/>
      <c r="L52" s="10" t="s">
        <v>168</v>
      </c>
      <c r="M52" s="10">
        <v>5</v>
      </c>
      <c r="N52" s="10">
        <v>1</v>
      </c>
      <c r="Q52" s="10"/>
    </row>
    <row r="53" spans="1:17" x14ac:dyDescent="0.25">
      <c r="A53" s="10">
        <v>11004</v>
      </c>
      <c r="B53" s="13" t="s">
        <v>263</v>
      </c>
      <c r="C53" s="16" t="s">
        <v>285</v>
      </c>
      <c r="D53" s="13">
        <v>3</v>
      </c>
      <c r="E53" s="10" t="str">
        <f>"supply"&amp;A53</f>
        <v>supply11004</v>
      </c>
      <c r="F53" s="10" t="s">
        <v>264</v>
      </c>
      <c r="G53" s="10" t="b">
        <v>1</v>
      </c>
      <c r="I53" s="10"/>
      <c r="O53" s="10" t="s">
        <v>449</v>
      </c>
      <c r="P53" s="10">
        <v>1</v>
      </c>
      <c r="Q53" s="10"/>
    </row>
    <row r="55" spans="1:17" x14ac:dyDescent="0.25">
      <c r="A55" s="11" t="s">
        <v>0</v>
      </c>
      <c r="Q55" s="10"/>
    </row>
    <row r="199" spans="4:17" ht="31.5" x14ac:dyDescent="0.25">
      <c r="D199" s="10"/>
      <c r="E199" s="15" t="s">
        <v>82</v>
      </c>
      <c r="Q199" s="10"/>
    </row>
    <row r="200" spans="4:17" ht="31.5" x14ac:dyDescent="0.25">
      <c r="D200" s="10"/>
      <c r="E200" s="15" t="s">
        <v>83</v>
      </c>
      <c r="Q200" s="10"/>
    </row>
    <row r="201" spans="4:17" ht="31.5" x14ac:dyDescent="0.25">
      <c r="D201" s="10"/>
      <c r="E201" s="15" t="s">
        <v>84</v>
      </c>
      <c r="Q201" s="10"/>
    </row>
    <row r="202" spans="4:17" ht="31.5" x14ac:dyDescent="0.25">
      <c r="D202" s="10"/>
      <c r="E202" s="15" t="s">
        <v>85</v>
      </c>
      <c r="Q202" s="10"/>
    </row>
    <row r="203" spans="4:17" ht="31.5" x14ac:dyDescent="0.25">
      <c r="D203" s="10"/>
      <c r="E203" s="15" t="s">
        <v>86</v>
      </c>
      <c r="Q203" s="10"/>
    </row>
    <row r="204" spans="4:17" x14ac:dyDescent="0.25">
      <c r="D204" s="10"/>
      <c r="E204" s="15" t="s">
        <v>87</v>
      </c>
      <c r="Q204" s="10"/>
    </row>
    <row r="205" spans="4:17" ht="31.5" x14ac:dyDescent="0.25">
      <c r="D205" s="10"/>
      <c r="E205" s="15" t="s">
        <v>88</v>
      </c>
      <c r="Q205" s="10"/>
    </row>
    <row r="206" spans="4:17" ht="31.5" x14ac:dyDescent="0.25">
      <c r="D206" s="10"/>
      <c r="E206" s="15" t="s">
        <v>89</v>
      </c>
      <c r="Q206" s="10"/>
    </row>
    <row r="207" spans="4:17" ht="31.5" x14ac:dyDescent="0.25">
      <c r="D207" s="10"/>
      <c r="E207" s="15" t="s">
        <v>90</v>
      </c>
      <c r="Q207" s="10"/>
    </row>
    <row r="208" spans="4:17" ht="31.5" x14ac:dyDescent="0.25">
      <c r="D208" s="10"/>
      <c r="E208" s="15" t="s">
        <v>91</v>
      </c>
      <c r="Q208" s="10"/>
    </row>
    <row r="209" spans="4:17" ht="31.5" x14ac:dyDescent="0.25">
      <c r="D209" s="10"/>
      <c r="E209" s="15" t="s">
        <v>92</v>
      </c>
      <c r="Q209" s="10"/>
    </row>
    <row r="210" spans="4:17" ht="31.5" x14ac:dyDescent="0.25">
      <c r="D210" s="10"/>
      <c r="E210" s="15" t="s">
        <v>93</v>
      </c>
      <c r="Q210" s="10"/>
    </row>
    <row r="211" spans="4:17" ht="31.5" x14ac:dyDescent="0.25">
      <c r="D211" s="10"/>
      <c r="E211" s="15" t="s">
        <v>94</v>
      </c>
      <c r="Q211" s="10"/>
    </row>
    <row r="212" spans="4:17" ht="31.5" x14ac:dyDescent="0.25">
      <c r="D212" s="10"/>
      <c r="E212" s="15" t="s">
        <v>95</v>
      </c>
      <c r="Q212" s="10"/>
    </row>
    <row r="213" spans="4:17" ht="31.5" x14ac:dyDescent="0.25">
      <c r="D213" s="10"/>
      <c r="E213" s="15" t="s">
        <v>96</v>
      </c>
      <c r="Q213" s="10"/>
    </row>
    <row r="214" spans="4:17" ht="31.5" x14ac:dyDescent="0.25">
      <c r="D214" s="10"/>
      <c r="E214" s="15" t="s">
        <v>97</v>
      </c>
      <c r="Q214" s="10"/>
    </row>
    <row r="215" spans="4:17" ht="31.5" x14ac:dyDescent="0.25">
      <c r="D215" s="10"/>
      <c r="E215" s="15" t="s">
        <v>98</v>
      </c>
      <c r="Q215" s="10"/>
    </row>
    <row r="216" spans="4:17" ht="31.5" x14ac:dyDescent="0.25">
      <c r="D216" s="10"/>
      <c r="E216" s="15" t="s">
        <v>99</v>
      </c>
      <c r="Q216" s="10"/>
    </row>
    <row r="217" spans="4:17" ht="31.5" x14ac:dyDescent="0.25">
      <c r="D217" s="10"/>
      <c r="E217" s="15" t="s">
        <v>100</v>
      </c>
      <c r="Q217" s="10"/>
    </row>
    <row r="218" spans="4:17" ht="31.5" x14ac:dyDescent="0.25">
      <c r="D218" s="10"/>
      <c r="E218" s="15" t="s">
        <v>101</v>
      </c>
      <c r="Q218" s="10"/>
    </row>
    <row r="219" spans="4:17" ht="31.5" x14ac:dyDescent="0.25">
      <c r="D219" s="10"/>
      <c r="E219" s="15" t="s">
        <v>102</v>
      </c>
      <c r="Q219" s="10"/>
    </row>
    <row r="220" spans="4:17" ht="31.5" x14ac:dyDescent="0.25">
      <c r="D220" s="10"/>
      <c r="E220" s="15" t="s">
        <v>103</v>
      </c>
      <c r="Q220" s="10"/>
    </row>
    <row r="221" spans="4:17" ht="31.5" x14ac:dyDescent="0.25">
      <c r="D221" s="10"/>
      <c r="E221" s="15" t="s">
        <v>104</v>
      </c>
      <c r="Q221" s="10"/>
    </row>
    <row r="222" spans="4:17" ht="31.5" x14ac:dyDescent="0.25">
      <c r="D222" s="10"/>
      <c r="E222" s="15" t="s">
        <v>105</v>
      </c>
      <c r="Q222" s="10"/>
    </row>
    <row r="223" spans="4:17" ht="31.5" x14ac:dyDescent="0.25">
      <c r="D223" s="10"/>
      <c r="E223" s="15" t="s">
        <v>106</v>
      </c>
      <c r="Q223" s="10"/>
    </row>
    <row r="224" spans="4:17" ht="31.5" x14ac:dyDescent="0.25">
      <c r="D224" s="10"/>
      <c r="E224" s="15" t="s">
        <v>107</v>
      </c>
      <c r="Q224" s="10"/>
    </row>
    <row r="225" spans="4:17" ht="31.5" x14ac:dyDescent="0.25">
      <c r="D225" s="10"/>
      <c r="E225" s="15" t="s">
        <v>108</v>
      </c>
      <c r="Q225" s="10"/>
    </row>
    <row r="226" spans="4:17" ht="31.5" x14ac:dyDescent="0.25">
      <c r="D226" s="10"/>
      <c r="E226" s="15" t="s">
        <v>109</v>
      </c>
      <c r="Q226" s="10"/>
    </row>
    <row r="227" spans="4:17" ht="31.5" x14ac:dyDescent="0.25">
      <c r="D227" s="10"/>
      <c r="E227" s="15" t="s">
        <v>110</v>
      </c>
      <c r="Q227" s="10"/>
    </row>
    <row r="228" spans="4:17" ht="31.5" x14ac:dyDescent="0.25">
      <c r="D228" s="10"/>
      <c r="E228" s="15" t="s">
        <v>111</v>
      </c>
      <c r="Q228" s="10"/>
    </row>
    <row r="229" spans="4:17" ht="31.5" x14ac:dyDescent="0.25">
      <c r="D229" s="10"/>
      <c r="E229" s="15" t="s">
        <v>112</v>
      </c>
      <c r="Q229" s="10"/>
    </row>
    <row r="230" spans="4:17" ht="31.5" x14ac:dyDescent="0.25">
      <c r="D230" s="10"/>
      <c r="E230" s="15" t="s">
        <v>113</v>
      </c>
      <c r="Q230" s="10"/>
    </row>
    <row r="231" spans="4:17" ht="31.5" x14ac:dyDescent="0.25">
      <c r="D231" s="10"/>
      <c r="E231" s="15" t="s">
        <v>114</v>
      </c>
      <c r="Q231" s="10"/>
    </row>
    <row r="232" spans="4:17" ht="31.5" x14ac:dyDescent="0.25">
      <c r="D232" s="10"/>
      <c r="E232" s="15" t="s">
        <v>115</v>
      </c>
      <c r="Q232" s="10"/>
    </row>
    <row r="233" spans="4:17" ht="31.5" x14ac:dyDescent="0.25">
      <c r="D233" s="10"/>
      <c r="E233" s="15" t="s">
        <v>116</v>
      </c>
      <c r="Q233" s="10"/>
    </row>
    <row r="234" spans="4:17" x14ac:dyDescent="0.25">
      <c r="D234" s="10"/>
      <c r="E234" s="15" t="s">
        <v>117</v>
      </c>
      <c r="Q234" s="10"/>
    </row>
    <row r="235" spans="4:17" ht="31.5" x14ac:dyDescent="0.25">
      <c r="D235" s="10"/>
      <c r="E235" s="15" t="s">
        <v>118</v>
      </c>
      <c r="Q235" s="10"/>
    </row>
    <row r="236" spans="4:17" ht="31.5" x14ac:dyDescent="0.25">
      <c r="D236" s="10"/>
      <c r="E236" s="15" t="s">
        <v>119</v>
      </c>
      <c r="Q236" s="10"/>
    </row>
    <row r="237" spans="4:17" x14ac:dyDescent="0.25">
      <c r="D237" s="10"/>
      <c r="E237" s="15" t="s">
        <v>120</v>
      </c>
      <c r="Q237" s="10"/>
    </row>
    <row r="238" spans="4:17" ht="31.5" x14ac:dyDescent="0.25">
      <c r="D238" s="10"/>
      <c r="E238" s="15" t="s">
        <v>121</v>
      </c>
      <c r="Q238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3">
    <dataValidation type="list" allowBlank="1" showInputMessage="1" showErrorMessage="1" sqref="I1:I2 I48:I1048576 I42:I46 I31 G1:G1048576 I5:I27">
      <formula1>"True,False"</formula1>
    </dataValidation>
    <dataValidation type="list" allowBlank="1" showInputMessage="1" showErrorMessage="1" sqref="H1:H1048576">
      <formula1>Target</formula1>
    </dataValidation>
    <dataValidation type="list" allowBlank="1" showInputMessage="1" showErrorMessage="1" sqref="O3:O1048576">
      <formula1>NotBattleEffect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43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D9" sqref="D9"/>
    </sheetView>
  </sheetViews>
  <sheetFormatPr defaultColWidth="7.5703125" defaultRowHeight="15.75" x14ac:dyDescent="0.25"/>
  <cols>
    <col min="1" max="1" width="8.7109375" style="10" customWidth="1"/>
    <col min="2" max="2" width="16" style="10" customWidth="1"/>
    <col min="3" max="3" width="49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 x14ac:dyDescent="0.25">
      <c r="A1" s="9" t="s">
        <v>122</v>
      </c>
      <c r="B1" s="9" t="s">
        <v>123</v>
      </c>
      <c r="C1" s="9" t="s">
        <v>126</v>
      </c>
      <c r="D1" s="9" t="s">
        <v>148</v>
      </c>
      <c r="E1" s="9" t="s">
        <v>140</v>
      </c>
      <c r="F1" s="9" t="s">
        <v>138</v>
      </c>
      <c r="G1" s="17" t="s">
        <v>154</v>
      </c>
      <c r="H1" s="19" t="s">
        <v>164</v>
      </c>
      <c r="I1" s="9" t="s">
        <v>186</v>
      </c>
      <c r="J1" s="17" t="s">
        <v>187</v>
      </c>
      <c r="K1" s="19" t="s">
        <v>158</v>
      </c>
      <c r="L1" s="9" t="s">
        <v>190</v>
      </c>
      <c r="M1" s="17" t="s">
        <v>191</v>
      </c>
      <c r="N1" s="19" t="s">
        <v>192</v>
      </c>
      <c r="O1" s="9" t="s">
        <v>196</v>
      </c>
      <c r="P1" s="17" t="s">
        <v>197</v>
      </c>
      <c r="Q1" s="19" t="s">
        <v>198</v>
      </c>
      <c r="R1" s="9" t="s">
        <v>199</v>
      </c>
      <c r="S1" s="17" t="s">
        <v>200</v>
      </c>
      <c r="T1" s="19" t="s">
        <v>201</v>
      </c>
      <c r="U1" s="9" t="s">
        <v>202</v>
      </c>
      <c r="V1" s="17" t="s">
        <v>203</v>
      </c>
      <c r="W1" s="19" t="s">
        <v>204</v>
      </c>
      <c r="X1" s="9" t="s">
        <v>205</v>
      </c>
      <c r="Y1" s="17" t="s">
        <v>206</v>
      </c>
      <c r="Z1" s="19" t="s">
        <v>207</v>
      </c>
    </row>
    <row r="2" spans="1:26" s="9" customFormat="1" x14ac:dyDescent="0.25">
      <c r="A2" s="9" t="s">
        <v>77</v>
      </c>
      <c r="B2" s="9" t="s">
        <v>80</v>
      </c>
      <c r="C2" s="9" t="s">
        <v>127</v>
      </c>
      <c r="D2" s="9" t="s">
        <v>149</v>
      </c>
      <c r="E2" s="9" t="s">
        <v>141</v>
      </c>
      <c r="F2" s="9" t="s">
        <v>135</v>
      </c>
      <c r="G2" s="17" t="s">
        <v>136</v>
      </c>
      <c r="H2" s="19" t="s">
        <v>137</v>
      </c>
      <c r="I2" s="9" t="s">
        <v>188</v>
      </c>
      <c r="J2" s="17" t="s">
        <v>189</v>
      </c>
      <c r="K2" s="19" t="s">
        <v>139</v>
      </c>
      <c r="L2" s="9" t="s">
        <v>193</v>
      </c>
      <c r="M2" s="17" t="s">
        <v>194</v>
      </c>
      <c r="N2" s="19" t="s">
        <v>195</v>
      </c>
      <c r="O2" s="9" t="s">
        <v>208</v>
      </c>
      <c r="P2" s="17" t="s">
        <v>209</v>
      </c>
      <c r="Q2" s="19" t="s">
        <v>210</v>
      </c>
      <c r="R2" s="9" t="s">
        <v>211</v>
      </c>
      <c r="S2" s="17" t="s">
        <v>212</v>
      </c>
      <c r="T2" s="19" t="s">
        <v>213</v>
      </c>
      <c r="U2" s="9" t="s">
        <v>214</v>
      </c>
      <c r="V2" s="17" t="s">
        <v>215</v>
      </c>
      <c r="W2" s="19" t="s">
        <v>216</v>
      </c>
      <c r="X2" s="9" t="s">
        <v>217</v>
      </c>
      <c r="Y2" s="17" t="s">
        <v>218</v>
      </c>
      <c r="Z2" s="19" t="s">
        <v>219</v>
      </c>
    </row>
    <row r="3" spans="1:26" x14ac:dyDescent="0.25">
      <c r="B3" s="13"/>
      <c r="C3" s="16"/>
      <c r="D3" s="13"/>
      <c r="E3" s="16"/>
    </row>
    <row r="4" spans="1:26" x14ac:dyDescent="0.25">
      <c r="B4" s="13"/>
      <c r="C4" s="16"/>
      <c r="D4" s="13"/>
      <c r="E4" s="16"/>
    </row>
    <row r="5" spans="1:26" x14ac:dyDescent="0.25">
      <c r="B5" s="13"/>
      <c r="C5" s="16"/>
      <c r="D5" s="13"/>
      <c r="E5" s="16"/>
    </row>
    <row r="6" spans="1:26" x14ac:dyDescent="0.25">
      <c r="B6" s="12" t="s">
        <v>312</v>
      </c>
      <c r="C6" s="16"/>
      <c r="D6" s="13"/>
      <c r="E6" s="16"/>
    </row>
    <row r="7" spans="1:26" x14ac:dyDescent="0.25">
      <c r="A7" s="10">
        <f>D7*10+1</f>
        <v>51</v>
      </c>
      <c r="B7" s="13" t="str">
        <f>VLOOKUP(D7,Supply!A:B,2,FALSE)</f>
        <v>小刀</v>
      </c>
      <c r="C7" s="16" t="s">
        <v>423</v>
      </c>
      <c r="D7" s="10">
        <v>5</v>
      </c>
      <c r="E7" s="16" t="s">
        <v>143</v>
      </c>
      <c r="F7" s="10" t="s">
        <v>225</v>
      </c>
      <c r="G7" s="18" t="s">
        <v>249</v>
      </c>
      <c r="H7" s="20">
        <v>1</v>
      </c>
      <c r="I7" s="10" t="s">
        <v>305</v>
      </c>
      <c r="J7" s="18" t="s">
        <v>309</v>
      </c>
      <c r="K7" s="20">
        <v>0.5</v>
      </c>
    </row>
    <row r="8" spans="1:26" x14ac:dyDescent="0.25">
      <c r="A8" s="10">
        <f t="shared" ref="A8:A12" si="0">D8*10+1</f>
        <v>61</v>
      </c>
      <c r="B8" s="13" t="str">
        <f>VLOOKUP(D8,Supply!A:B,2,FALSE)</f>
        <v>木棍</v>
      </c>
      <c r="C8" s="16" t="s">
        <v>457</v>
      </c>
      <c r="D8" s="10">
        <v>6</v>
      </c>
      <c r="E8" s="16" t="s">
        <v>143</v>
      </c>
      <c r="F8" s="10" t="s">
        <v>225</v>
      </c>
      <c r="G8" s="18" t="s">
        <v>424</v>
      </c>
      <c r="H8" s="20">
        <v>1</v>
      </c>
      <c r="I8" s="10" t="s">
        <v>220</v>
      </c>
      <c r="J8" s="18" t="s">
        <v>259</v>
      </c>
      <c r="K8" s="20">
        <v>0.5</v>
      </c>
    </row>
    <row r="9" spans="1:26" x14ac:dyDescent="0.25">
      <c r="A9" s="10">
        <f t="shared" si="0"/>
        <v>71</v>
      </c>
      <c r="B9" s="13" t="str">
        <f>VLOOKUP(D9,Supply!A:B,2,FALSE)</f>
        <v>短柄斧</v>
      </c>
      <c r="C9" s="16" t="s">
        <v>399</v>
      </c>
      <c r="D9" s="10">
        <v>7</v>
      </c>
      <c r="E9" s="16" t="s">
        <v>143</v>
      </c>
      <c r="F9" s="10" t="s">
        <v>225</v>
      </c>
      <c r="G9" s="18" t="s">
        <v>268</v>
      </c>
      <c r="H9" s="20">
        <v>1</v>
      </c>
      <c r="I9" s="10" t="s">
        <v>305</v>
      </c>
      <c r="J9" s="18" t="s">
        <v>309</v>
      </c>
      <c r="K9" s="20">
        <v>1</v>
      </c>
    </row>
    <row r="10" spans="1:26" x14ac:dyDescent="0.25">
      <c r="A10" s="10">
        <f t="shared" si="0"/>
        <v>81</v>
      </c>
      <c r="B10" s="13" t="str">
        <f>VLOOKUP(D10,Supply!A:B,2,FALSE)</f>
        <v>釘槍</v>
      </c>
      <c r="C10" s="16" t="s">
        <v>352</v>
      </c>
      <c r="D10" s="10">
        <v>8</v>
      </c>
      <c r="E10" s="16" t="s">
        <v>143</v>
      </c>
      <c r="F10" s="10" t="s">
        <v>225</v>
      </c>
      <c r="G10" s="18" t="s">
        <v>310</v>
      </c>
      <c r="H10" s="20">
        <v>0.6</v>
      </c>
      <c r="I10" s="10" t="s">
        <v>225</v>
      </c>
      <c r="J10" s="18" t="s">
        <v>310</v>
      </c>
      <c r="K10" s="20">
        <v>0.6</v>
      </c>
      <c r="L10" s="10" t="s">
        <v>225</v>
      </c>
      <c r="M10" s="18" t="s">
        <v>310</v>
      </c>
      <c r="N10" s="20">
        <v>0.6</v>
      </c>
      <c r="O10" s="10" t="s">
        <v>225</v>
      </c>
      <c r="P10" s="18" t="s">
        <v>310</v>
      </c>
      <c r="Q10" s="20">
        <v>0.6</v>
      </c>
      <c r="R10" s="10" t="s">
        <v>225</v>
      </c>
      <c r="S10" s="18" t="s">
        <v>310</v>
      </c>
      <c r="T10" s="20">
        <v>0.6</v>
      </c>
      <c r="U10" s="10" t="s">
        <v>225</v>
      </c>
      <c r="V10" s="18" t="s">
        <v>310</v>
      </c>
      <c r="W10" s="20">
        <v>0.6</v>
      </c>
      <c r="X10" s="10" t="s">
        <v>225</v>
      </c>
      <c r="Y10" s="18" t="s">
        <v>310</v>
      </c>
      <c r="Z10" s="20">
        <v>0.6</v>
      </c>
    </row>
    <row r="11" spans="1:26" x14ac:dyDescent="0.25">
      <c r="A11" s="10">
        <f t="shared" si="0"/>
        <v>111</v>
      </c>
      <c r="B11" s="13" t="str">
        <f>VLOOKUP(D11,Supply!A:B,2,FALSE)</f>
        <v>手槍</v>
      </c>
      <c r="C11" s="16" t="s">
        <v>350</v>
      </c>
      <c r="D11" s="10">
        <v>11</v>
      </c>
      <c r="E11" s="16" t="s">
        <v>143</v>
      </c>
      <c r="F11" s="10" t="s">
        <v>225</v>
      </c>
      <c r="G11" s="18" t="s">
        <v>267</v>
      </c>
      <c r="H11" s="20">
        <v>0.8</v>
      </c>
    </row>
    <row r="12" spans="1:26" x14ac:dyDescent="0.25">
      <c r="A12" s="10">
        <f t="shared" si="0"/>
        <v>121</v>
      </c>
      <c r="B12" s="13" t="str">
        <f>VLOOKUP(D12,Supply!A:B,2,FALSE)</f>
        <v>狼牙棒</v>
      </c>
      <c r="C12" s="16" t="s">
        <v>353</v>
      </c>
      <c r="D12" s="10">
        <v>12</v>
      </c>
      <c r="E12" s="16" t="s">
        <v>143</v>
      </c>
      <c r="F12" s="10" t="s">
        <v>225</v>
      </c>
      <c r="G12" s="18" t="s">
        <v>326</v>
      </c>
      <c r="H12" s="20">
        <v>1</v>
      </c>
      <c r="I12" s="10" t="s">
        <v>220</v>
      </c>
      <c r="J12" s="18" t="s">
        <v>259</v>
      </c>
      <c r="K12" s="20">
        <v>0.5</v>
      </c>
    </row>
    <row r="13" spans="1:26" x14ac:dyDescent="0.25">
      <c r="A13" s="10">
        <f t="shared" ref="A13" si="1">D13*10+1</f>
        <v>151</v>
      </c>
      <c r="B13" s="13" t="str">
        <f>VLOOKUP(D13,Supply!A:B,2,FALSE)</f>
        <v>蘋果</v>
      </c>
      <c r="C13" s="16" t="s">
        <v>451</v>
      </c>
      <c r="D13" s="10">
        <v>15</v>
      </c>
      <c r="E13" s="16" t="s">
        <v>450</v>
      </c>
      <c r="F13" s="10" t="s">
        <v>436</v>
      </c>
      <c r="G13" s="18" t="s">
        <v>287</v>
      </c>
      <c r="H13" s="20">
        <v>1</v>
      </c>
    </row>
    <row r="14" spans="1:26" x14ac:dyDescent="0.25">
      <c r="A14" s="10">
        <f t="shared" ref="A14:A18" si="2">D14*10+1</f>
        <v>161</v>
      </c>
      <c r="B14" s="13" t="str">
        <f>VLOOKUP(D14,Supply!A:B,2,FALSE)</f>
        <v>奶油麵包</v>
      </c>
      <c r="C14" s="16" t="s">
        <v>452</v>
      </c>
      <c r="D14" s="10">
        <v>16</v>
      </c>
      <c r="E14" s="16" t="s">
        <v>450</v>
      </c>
      <c r="F14" s="10" t="s">
        <v>436</v>
      </c>
      <c r="G14" s="18" t="s">
        <v>310</v>
      </c>
      <c r="H14" s="20">
        <v>1</v>
      </c>
    </row>
    <row r="15" spans="1:26" x14ac:dyDescent="0.25">
      <c r="A15" s="10">
        <f t="shared" si="2"/>
        <v>171</v>
      </c>
      <c r="B15" s="13" t="str">
        <f>VLOOKUP(D15,Supply!A:B,2,FALSE)</f>
        <v>雞腿便當</v>
      </c>
      <c r="C15" s="16" t="s">
        <v>453</v>
      </c>
      <c r="D15" s="10">
        <v>17</v>
      </c>
      <c r="E15" s="16" t="s">
        <v>450</v>
      </c>
      <c r="F15" s="10" t="s">
        <v>436</v>
      </c>
      <c r="G15" s="18" t="s">
        <v>249</v>
      </c>
      <c r="H15" s="20">
        <v>1</v>
      </c>
    </row>
    <row r="16" spans="1:26" x14ac:dyDescent="0.25">
      <c r="A16" s="10">
        <f t="shared" si="2"/>
        <v>181</v>
      </c>
      <c r="B16" s="13" t="str">
        <f>VLOOKUP(D16,Supply!A:B,2,FALSE)</f>
        <v>糖果</v>
      </c>
      <c r="C16" s="16" t="s">
        <v>454</v>
      </c>
      <c r="D16" s="10">
        <v>18</v>
      </c>
      <c r="E16" s="16" t="s">
        <v>450</v>
      </c>
      <c r="F16" s="10" t="s">
        <v>438</v>
      </c>
      <c r="G16" s="18" t="s">
        <v>287</v>
      </c>
      <c r="H16" s="20">
        <v>1</v>
      </c>
    </row>
    <row r="17" spans="1:11" x14ac:dyDescent="0.25">
      <c r="A17" s="10">
        <f t="shared" si="2"/>
        <v>191</v>
      </c>
      <c r="B17" s="13" t="str">
        <f>VLOOKUP(D17,Supply!A:B,2,FALSE)</f>
        <v>巧克力球</v>
      </c>
      <c r="C17" s="16" t="s">
        <v>455</v>
      </c>
      <c r="D17" s="10">
        <v>19</v>
      </c>
      <c r="E17" s="16" t="s">
        <v>450</v>
      </c>
      <c r="F17" s="10" t="s">
        <v>438</v>
      </c>
      <c r="G17" s="18" t="s">
        <v>310</v>
      </c>
      <c r="H17" s="20">
        <v>1</v>
      </c>
    </row>
    <row r="18" spans="1:11" x14ac:dyDescent="0.25">
      <c r="A18" s="10">
        <f t="shared" si="2"/>
        <v>201</v>
      </c>
      <c r="B18" s="13" t="str">
        <f>VLOOKUP(D18,Supply!A:B,2,FALSE)</f>
        <v>草莓蛋糕</v>
      </c>
      <c r="C18" s="16" t="s">
        <v>456</v>
      </c>
      <c r="D18" s="10">
        <v>20</v>
      </c>
      <c r="E18" s="16" t="s">
        <v>450</v>
      </c>
      <c r="F18" s="10" t="s">
        <v>438</v>
      </c>
      <c r="G18" s="18" t="s">
        <v>249</v>
      </c>
      <c r="H18" s="20">
        <v>1</v>
      </c>
    </row>
    <row r="19" spans="1:11" x14ac:dyDescent="0.25">
      <c r="B19" s="13"/>
      <c r="C19" s="16"/>
      <c r="E19" s="16"/>
    </row>
    <row r="20" spans="1:11" x14ac:dyDescent="0.25">
      <c r="B20" s="13"/>
      <c r="C20" s="16"/>
      <c r="E20" s="16"/>
    </row>
    <row r="21" spans="1:11" x14ac:dyDescent="0.25">
      <c r="B21" s="12" t="s">
        <v>313</v>
      </c>
      <c r="C21" s="16"/>
      <c r="D21" s="13"/>
      <c r="E21" s="16"/>
    </row>
    <row r="22" spans="1:11" x14ac:dyDescent="0.25">
      <c r="A22" s="10">
        <f>D22*10+1</f>
        <v>50011</v>
      </c>
      <c r="B22" s="13" t="str">
        <f>VLOOKUP(D22,Supply!A:B,2,FALSE)</f>
        <v>獻祭小刀</v>
      </c>
      <c r="C22" s="16" t="s">
        <v>400</v>
      </c>
      <c r="D22" s="10">
        <v>5001</v>
      </c>
      <c r="E22" s="16" t="s">
        <v>143</v>
      </c>
      <c r="F22" s="10" t="s">
        <v>225</v>
      </c>
      <c r="G22" s="18" t="s">
        <v>318</v>
      </c>
      <c r="H22" s="20">
        <v>1</v>
      </c>
      <c r="I22" s="10" t="s">
        <v>305</v>
      </c>
      <c r="J22" s="18" t="s">
        <v>309</v>
      </c>
      <c r="K22" s="20">
        <v>1</v>
      </c>
    </row>
    <row r="23" spans="1:11" x14ac:dyDescent="0.25">
      <c r="A23" s="10">
        <f>D23*10+1</f>
        <v>50021</v>
      </c>
      <c r="B23" s="13" t="str">
        <f>VLOOKUP(D23,Supply!A:B,2,FALSE)</f>
        <v>切肉刀</v>
      </c>
      <c r="C23" s="16" t="s">
        <v>428</v>
      </c>
      <c r="D23" s="10">
        <v>5002</v>
      </c>
      <c r="E23" s="16" t="s">
        <v>143</v>
      </c>
      <c r="F23" s="10" t="s">
        <v>225</v>
      </c>
      <c r="G23" s="18" t="s">
        <v>426</v>
      </c>
      <c r="H23" s="20">
        <v>1</v>
      </c>
      <c r="I23" s="10" t="s">
        <v>305</v>
      </c>
      <c r="J23" s="18" t="s">
        <v>306</v>
      </c>
      <c r="K23" s="20">
        <v>1</v>
      </c>
    </row>
    <row r="24" spans="1:11" x14ac:dyDescent="0.25">
      <c r="B24" s="13"/>
      <c r="C24" s="16"/>
      <c r="E24" s="16"/>
    </row>
    <row r="25" spans="1:11" x14ac:dyDescent="0.25">
      <c r="B25" s="13"/>
      <c r="C25" s="16"/>
      <c r="E25" s="16"/>
    </row>
    <row r="26" spans="1:11" x14ac:dyDescent="0.25">
      <c r="B26" s="13"/>
      <c r="C26" s="16"/>
      <c r="D26" s="13"/>
      <c r="E26" s="16"/>
    </row>
    <row r="27" spans="1:11" x14ac:dyDescent="0.25">
      <c r="B27" s="12" t="s">
        <v>265</v>
      </c>
      <c r="C27" s="16"/>
      <c r="D27" s="13"/>
      <c r="E27" s="16"/>
    </row>
    <row r="28" spans="1:11" x14ac:dyDescent="0.25">
      <c r="A28" s="10">
        <f>D28*10+1</f>
        <v>100011</v>
      </c>
      <c r="B28" s="13" t="str">
        <f>VLOOKUP(D28,Supply!A:B,2,FALSE)</f>
        <v>重踹</v>
      </c>
      <c r="C28" s="16" t="s">
        <v>354</v>
      </c>
      <c r="D28" s="13">
        <v>10001</v>
      </c>
      <c r="E28" s="16" t="s">
        <v>143</v>
      </c>
      <c r="F28" s="10" t="s">
        <v>225</v>
      </c>
      <c r="G28" s="18" t="s">
        <v>286</v>
      </c>
      <c r="H28" s="20">
        <v>1</v>
      </c>
      <c r="I28" s="10" t="s">
        <v>220</v>
      </c>
      <c r="J28" s="18" t="s">
        <v>259</v>
      </c>
      <c r="K28" s="20">
        <v>0.5</v>
      </c>
    </row>
    <row r="29" spans="1:11" x14ac:dyDescent="0.25">
      <c r="B29" s="13"/>
      <c r="C29" s="16"/>
      <c r="D29" s="13"/>
      <c r="E29" s="16"/>
    </row>
    <row r="30" spans="1:11" x14ac:dyDescent="0.25">
      <c r="A30" s="10">
        <f>D30*10+1</f>
        <v>100021</v>
      </c>
      <c r="B30" s="13" t="str">
        <f>VLOOKUP(D30,Supply!A:B,2,FALSE)</f>
        <v>徒手搏擊</v>
      </c>
      <c r="C30" s="16" t="s">
        <v>339</v>
      </c>
      <c r="D30" s="13">
        <v>10002</v>
      </c>
      <c r="E30" s="16" t="s">
        <v>143</v>
      </c>
      <c r="F30" s="10" t="s">
        <v>225</v>
      </c>
      <c r="G30" s="18" t="s">
        <v>287</v>
      </c>
      <c r="H30" s="20">
        <v>1</v>
      </c>
    </row>
    <row r="31" spans="1:11" x14ac:dyDescent="0.25">
      <c r="B31" s="13"/>
      <c r="C31" s="16"/>
      <c r="D31" s="13"/>
      <c r="E31" s="16"/>
    </row>
    <row r="32" spans="1:11" x14ac:dyDescent="0.25">
      <c r="B32" s="13"/>
      <c r="C32" s="16"/>
      <c r="D32" s="13"/>
      <c r="E32" s="16"/>
    </row>
    <row r="33" spans="1:11" x14ac:dyDescent="0.25">
      <c r="B33" s="12" t="s">
        <v>314</v>
      </c>
      <c r="C33" s="16"/>
      <c r="D33" s="13"/>
      <c r="E33" s="16"/>
    </row>
    <row r="34" spans="1:11" x14ac:dyDescent="0.25">
      <c r="A34" s="10">
        <f>D34*10+1</f>
        <v>110011</v>
      </c>
      <c r="B34" s="13" t="str">
        <f>VLOOKUP(D34,Supply!A:B,2,FALSE)</f>
        <v>厚重百科全書</v>
      </c>
      <c r="C34" s="16" t="s">
        <v>401</v>
      </c>
      <c r="D34" s="10">
        <v>11001</v>
      </c>
      <c r="E34" s="16" t="s">
        <v>143</v>
      </c>
      <c r="F34" s="10" t="s">
        <v>225</v>
      </c>
      <c r="G34" s="18" t="s">
        <v>249</v>
      </c>
      <c r="H34" s="20">
        <v>1</v>
      </c>
      <c r="I34" s="10" t="s">
        <v>220</v>
      </c>
      <c r="J34" s="18" t="s">
        <v>259</v>
      </c>
      <c r="K34" s="20">
        <v>1</v>
      </c>
    </row>
    <row r="35" spans="1:11" x14ac:dyDescent="0.25">
      <c r="B35" s="13"/>
      <c r="C35" s="16"/>
      <c r="D35" s="13"/>
      <c r="E35" s="16"/>
    </row>
    <row r="36" spans="1:11" x14ac:dyDescent="0.25">
      <c r="A36" s="10">
        <f>D36*10+1</f>
        <v>110021</v>
      </c>
      <c r="B36" s="13" t="str">
        <f>VLOOKUP(D36,Supply!A:B,2,FALSE)</f>
        <v>步槍</v>
      </c>
      <c r="C36" s="16" t="s">
        <v>351</v>
      </c>
      <c r="D36" s="10">
        <v>11002</v>
      </c>
      <c r="E36" s="16" t="s">
        <v>143</v>
      </c>
      <c r="F36" s="10" t="s">
        <v>225</v>
      </c>
      <c r="G36" s="18" t="s">
        <v>311</v>
      </c>
      <c r="H36" s="20">
        <v>0.8</v>
      </c>
    </row>
    <row r="37" spans="1:11" x14ac:dyDescent="0.25">
      <c r="B37" s="13"/>
      <c r="C37" s="16"/>
      <c r="E37" s="16"/>
    </row>
    <row r="38" spans="1:11" x14ac:dyDescent="0.25">
      <c r="A38" s="10">
        <f>D38*10+1</f>
        <v>110031</v>
      </c>
      <c r="B38" s="13" t="str">
        <f>VLOOKUP(D38,Supply!A:B,2,FALSE)</f>
        <v>手術刀</v>
      </c>
      <c r="C38" s="16" t="s">
        <v>402</v>
      </c>
      <c r="D38" s="10">
        <v>11003</v>
      </c>
      <c r="E38" s="16" t="s">
        <v>143</v>
      </c>
      <c r="F38" s="10" t="s">
        <v>225</v>
      </c>
      <c r="G38" s="18" t="s">
        <v>268</v>
      </c>
      <c r="H38" s="20">
        <v>1</v>
      </c>
      <c r="I38" s="10" t="s">
        <v>305</v>
      </c>
      <c r="J38" s="18" t="s">
        <v>306</v>
      </c>
      <c r="K38" s="20">
        <v>1</v>
      </c>
    </row>
    <row r="39" spans="1:11" x14ac:dyDescent="0.25">
      <c r="B39" s="13"/>
      <c r="C39" s="16"/>
      <c r="D39" s="13"/>
      <c r="E39" s="16"/>
    </row>
    <row r="40" spans="1:11" x14ac:dyDescent="0.25">
      <c r="B40" s="13"/>
      <c r="C40" s="16"/>
      <c r="D40" s="13"/>
      <c r="E40" s="16"/>
    </row>
    <row r="41" spans="1:11" x14ac:dyDescent="0.25">
      <c r="B41" s="13"/>
      <c r="C41" s="16"/>
      <c r="D41" s="13"/>
      <c r="E41" s="16"/>
    </row>
    <row r="43" spans="1:11" x14ac:dyDescent="0.25">
      <c r="A43" s="11" t="s">
        <v>0</v>
      </c>
    </row>
  </sheetData>
  <phoneticPr fontId="1" type="noConversion"/>
  <dataValidations count="2">
    <dataValidation type="list" allowBlank="1" showInputMessage="1" showErrorMessage="1" sqref="F1:F3 R1:R1048576 U1:U1048576 X1:X1048576 L1:L1048576 I1:I1048576 O1:O1048576 F5:F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A10" sqref="A10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 x14ac:dyDescent="0.25">
      <c r="A1" s="2" t="s">
        <v>70</v>
      </c>
    </row>
    <row r="2" spans="1:4" ht="16.5" x14ac:dyDescent="0.25">
      <c r="A2" s="4" t="s">
        <v>71</v>
      </c>
    </row>
    <row r="3" spans="1:4" ht="16.5" x14ac:dyDescent="0.25">
      <c r="A3" s="4" t="s">
        <v>72</v>
      </c>
    </row>
    <row r="4" spans="1:4" ht="16.5" x14ac:dyDescent="0.25">
      <c r="A4" s="4" t="s">
        <v>73</v>
      </c>
    </row>
    <row r="5" spans="1:4" ht="16.5" x14ac:dyDescent="0.25">
      <c r="A5" s="4" t="s">
        <v>74</v>
      </c>
    </row>
    <row r="6" spans="1:4" ht="16.5" x14ac:dyDescent="0.25">
      <c r="A6" s="4" t="s">
        <v>75</v>
      </c>
    </row>
    <row r="7" spans="1:4" ht="16.5" x14ac:dyDescent="0.25">
      <c r="A7" s="4"/>
    </row>
    <row r="8" spans="1:4" x14ac:dyDescent="0.25">
      <c r="D8" s="6"/>
    </row>
    <row r="10" spans="1:4" x14ac:dyDescent="0.25">
      <c r="A10" t="s">
        <v>321</v>
      </c>
      <c r="D10" s="6"/>
    </row>
    <row r="13" spans="1:4" x14ac:dyDescent="0.25">
      <c r="D13" s="6"/>
    </row>
    <row r="15" spans="1:4" x14ac:dyDescent="0.25">
      <c r="D15" s="6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5" t="s">
        <v>28</v>
      </c>
      <c r="B59" s="5" t="s">
        <v>37</v>
      </c>
      <c r="C59" s="5" t="s">
        <v>22</v>
      </c>
      <c r="D59" s="5" t="s">
        <v>52</v>
      </c>
    </row>
    <row r="60" spans="1:13" x14ac:dyDescent="0.25">
      <c r="A60" s="5" t="s">
        <v>29</v>
      </c>
      <c r="B60" s="5" t="s">
        <v>1</v>
      </c>
      <c r="C60" s="5" t="s">
        <v>22</v>
      </c>
      <c r="D60" s="5" t="s">
        <v>53</v>
      </c>
    </row>
    <row r="61" spans="1:13" x14ac:dyDescent="0.25">
      <c r="A61" s="5" t="s">
        <v>30</v>
      </c>
      <c r="B61" s="5" t="s">
        <v>2</v>
      </c>
      <c r="C61" s="5" t="s">
        <v>22</v>
      </c>
      <c r="D61" s="5" t="s">
        <v>54</v>
      </c>
    </row>
    <row r="62" spans="1:13" x14ac:dyDescent="0.25">
      <c r="A62" s="5" t="s">
        <v>31</v>
      </c>
      <c r="B62" s="5" t="s">
        <v>3</v>
      </c>
      <c r="C62" s="5" t="s">
        <v>22</v>
      </c>
      <c r="D62" s="5" t="s">
        <v>55</v>
      </c>
    </row>
    <row r="63" spans="1:13" x14ac:dyDescent="0.25">
      <c r="A63" s="5" t="s">
        <v>32</v>
      </c>
      <c r="B63" s="5" t="s">
        <v>4</v>
      </c>
      <c r="C63" s="5" t="s">
        <v>22</v>
      </c>
      <c r="D63" s="5" t="s">
        <v>56</v>
      </c>
    </row>
    <row r="64" spans="1:13" x14ac:dyDescent="0.25">
      <c r="A64" s="5" t="s">
        <v>33</v>
      </c>
      <c r="B64" s="5" t="s">
        <v>5</v>
      </c>
      <c r="C64" s="5" t="s">
        <v>22</v>
      </c>
      <c r="D64" s="5" t="s">
        <v>57</v>
      </c>
    </row>
    <row r="65" spans="1:4" x14ac:dyDescent="0.25">
      <c r="A65" s="5" t="s">
        <v>45</v>
      </c>
      <c r="B65" s="5" t="s">
        <v>38</v>
      </c>
      <c r="C65" s="5" t="s">
        <v>22</v>
      </c>
      <c r="D65" s="5" t="s">
        <v>58</v>
      </c>
    </row>
    <row r="66" spans="1:4" x14ac:dyDescent="0.25">
      <c r="A66" s="5" t="s">
        <v>34</v>
      </c>
      <c r="B66" s="5" t="s">
        <v>39</v>
      </c>
      <c r="C66" s="5" t="s">
        <v>22</v>
      </c>
      <c r="D66" s="5" t="s">
        <v>59</v>
      </c>
    </row>
    <row r="67" spans="1:4" x14ac:dyDescent="0.25">
      <c r="A67" s="5" t="s">
        <v>43</v>
      </c>
      <c r="B67" s="5" t="s">
        <v>6</v>
      </c>
      <c r="C67" s="5" t="s">
        <v>22</v>
      </c>
      <c r="D67" s="5" t="s">
        <v>60</v>
      </c>
    </row>
    <row r="68" spans="1:4" x14ac:dyDescent="0.25">
      <c r="A68" s="5" t="s">
        <v>46</v>
      </c>
      <c r="B68" s="5" t="s">
        <v>35</v>
      </c>
      <c r="C68" s="5" t="s">
        <v>22</v>
      </c>
      <c r="D68" s="5" t="s">
        <v>61</v>
      </c>
    </row>
    <row r="69" spans="1:4" x14ac:dyDescent="0.25">
      <c r="A69" s="5" t="s">
        <v>44</v>
      </c>
      <c r="B69" s="5" t="s">
        <v>7</v>
      </c>
      <c r="C69" s="5" t="s">
        <v>22</v>
      </c>
      <c r="D69" s="5" t="s">
        <v>62</v>
      </c>
    </row>
    <row r="70" spans="1:4" x14ac:dyDescent="0.25">
      <c r="A70" s="5" t="s">
        <v>47</v>
      </c>
      <c r="B70" s="5" t="s">
        <v>36</v>
      </c>
      <c r="C70" s="5" t="s">
        <v>22</v>
      </c>
      <c r="D70" s="5" t="s">
        <v>63</v>
      </c>
    </row>
    <row r="71" spans="1:4" x14ac:dyDescent="0.25">
      <c r="A71" s="5" t="s">
        <v>41</v>
      </c>
      <c r="B71" s="5" t="s">
        <v>8</v>
      </c>
      <c r="C71" s="5" t="s">
        <v>22</v>
      </c>
      <c r="D71" s="5" t="s">
        <v>64</v>
      </c>
    </row>
    <row r="72" spans="1:4" x14ac:dyDescent="0.25">
      <c r="A72" s="5" t="s">
        <v>42</v>
      </c>
      <c r="B72" s="5" t="s">
        <v>27</v>
      </c>
      <c r="C72" s="5" t="s">
        <v>22</v>
      </c>
      <c r="D72" s="5" t="s">
        <v>65</v>
      </c>
    </row>
    <row r="73" spans="1:4" x14ac:dyDescent="0.25">
      <c r="A73" s="5" t="s">
        <v>26</v>
      </c>
      <c r="B73" s="5" t="s">
        <v>9</v>
      </c>
      <c r="C73" s="5" t="s">
        <v>22</v>
      </c>
      <c r="D73" s="5" t="s">
        <v>66</v>
      </c>
    </row>
    <row r="74" spans="1:4" x14ac:dyDescent="0.25">
      <c r="A74" s="5" t="s">
        <v>25</v>
      </c>
      <c r="B74" s="5" t="s">
        <v>40</v>
      </c>
      <c r="C74" s="5" t="s">
        <v>22</v>
      </c>
      <c r="D74" s="5" t="s">
        <v>67</v>
      </c>
    </row>
    <row r="75" spans="1:4" x14ac:dyDescent="0.25">
      <c r="A75" s="5" t="s">
        <v>48</v>
      </c>
      <c r="B75" s="5" t="s">
        <v>10</v>
      </c>
      <c r="C75" s="5" t="s">
        <v>22</v>
      </c>
      <c r="D75" s="5" t="s">
        <v>68</v>
      </c>
    </row>
    <row r="76" spans="1:4" x14ac:dyDescent="0.25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J34"/>
  <sheetViews>
    <sheetView workbookViewId="0">
      <selection activeCell="F12" sqref="F12"/>
    </sheetView>
  </sheetViews>
  <sheetFormatPr defaultRowHeight="15.75" x14ac:dyDescent="0.2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17.7109375" customWidth="1"/>
    <col min="10" max="10" width="85.7109375" customWidth="1"/>
    <col min="11" max="11" width="17.85546875" customWidth="1"/>
    <col min="12" max="12" width="27.7109375" customWidth="1"/>
  </cols>
  <sheetData>
    <row r="1" spans="1:10" x14ac:dyDescent="0.25">
      <c r="A1" s="7" t="s">
        <v>78</v>
      </c>
      <c r="B1" s="8" t="s">
        <v>131</v>
      </c>
      <c r="I1" s="7" t="s">
        <v>78</v>
      </c>
      <c r="J1" s="8" t="s">
        <v>131</v>
      </c>
    </row>
    <row r="2" spans="1:10" x14ac:dyDescent="0.25">
      <c r="A2" s="7" t="s">
        <v>78</v>
      </c>
      <c r="B2" s="8" t="s">
        <v>132</v>
      </c>
      <c r="I2" s="7" t="s">
        <v>78</v>
      </c>
      <c r="J2" s="8" t="s">
        <v>132</v>
      </c>
    </row>
    <row r="3" spans="1:10" x14ac:dyDescent="0.25">
      <c r="A3" s="7"/>
      <c r="B3" s="8"/>
      <c r="I3" s="7"/>
      <c r="J3" s="8"/>
    </row>
    <row r="5" spans="1:10" x14ac:dyDescent="0.25">
      <c r="A5" s="1"/>
      <c r="I5" s="1"/>
    </row>
    <row r="9" spans="1:10" ht="16.5" x14ac:dyDescent="0.25">
      <c r="A9" s="2" t="s">
        <v>133</v>
      </c>
      <c r="B9" s="2" t="s">
        <v>79</v>
      </c>
      <c r="C9" s="2" t="s">
        <v>142</v>
      </c>
      <c r="D9" s="2" t="s">
        <v>76</v>
      </c>
      <c r="E9" s="2" t="s">
        <v>155</v>
      </c>
      <c r="F9" s="2" t="s">
        <v>157</v>
      </c>
      <c r="G9" s="2" t="s">
        <v>167</v>
      </c>
      <c r="H9" s="2" t="s">
        <v>76</v>
      </c>
      <c r="I9" s="2" t="s">
        <v>430</v>
      </c>
      <c r="J9" s="2" t="s">
        <v>76</v>
      </c>
    </row>
    <row r="10" spans="1:10" ht="31.5" x14ac:dyDescent="0.25">
      <c r="A10" t="s">
        <v>226</v>
      </c>
      <c r="B10" s="6" t="s">
        <v>230</v>
      </c>
      <c r="C10" t="s">
        <v>144</v>
      </c>
      <c r="D10" t="s">
        <v>146</v>
      </c>
      <c r="E10" t="s">
        <v>410</v>
      </c>
      <c r="F10">
        <v>4</v>
      </c>
      <c r="G10" t="s">
        <v>168</v>
      </c>
      <c r="H10" t="s">
        <v>169</v>
      </c>
      <c r="I10" t="s">
        <v>429</v>
      </c>
      <c r="J10" s="6" t="s">
        <v>433</v>
      </c>
    </row>
    <row r="11" spans="1:10" ht="31.5" x14ac:dyDescent="0.25">
      <c r="A11" t="s">
        <v>227</v>
      </c>
      <c r="B11" s="6" t="s">
        <v>231</v>
      </c>
      <c r="C11" t="s">
        <v>145</v>
      </c>
      <c r="D11" t="s">
        <v>147</v>
      </c>
      <c r="E11" t="s">
        <v>411</v>
      </c>
      <c r="F11">
        <v>4</v>
      </c>
      <c r="G11" t="s">
        <v>445</v>
      </c>
      <c r="H11" t="s">
        <v>170</v>
      </c>
      <c r="I11" t="s">
        <v>284</v>
      </c>
      <c r="J11" s="6" t="s">
        <v>181</v>
      </c>
    </row>
    <row r="12" spans="1:10" ht="31.5" x14ac:dyDescent="0.25">
      <c r="A12" t="s">
        <v>228</v>
      </c>
      <c r="B12" s="6" t="s">
        <v>232</v>
      </c>
      <c r="E12" t="s">
        <v>412</v>
      </c>
      <c r="F12">
        <v>9</v>
      </c>
      <c r="J12" s="6"/>
    </row>
    <row r="13" spans="1:10" ht="31.5" x14ac:dyDescent="0.25">
      <c r="A13" t="s">
        <v>229</v>
      </c>
      <c r="B13" s="6" t="s">
        <v>233</v>
      </c>
      <c r="E13" t="s">
        <v>413</v>
      </c>
      <c r="F13">
        <v>3</v>
      </c>
      <c r="J13" s="6"/>
    </row>
    <row r="14" spans="1:10" ht="31.5" x14ac:dyDescent="0.25">
      <c r="A14" t="s">
        <v>162</v>
      </c>
      <c r="B14" s="6" t="s">
        <v>237</v>
      </c>
      <c r="E14" t="s">
        <v>414</v>
      </c>
      <c r="F14">
        <v>2</v>
      </c>
      <c r="J14" s="6"/>
    </row>
    <row r="15" spans="1:10" ht="31.5" x14ac:dyDescent="0.25">
      <c r="A15" t="s">
        <v>173</v>
      </c>
      <c r="B15" s="6" t="s">
        <v>251</v>
      </c>
      <c r="E15" t="s">
        <v>415</v>
      </c>
      <c r="F15">
        <v>2</v>
      </c>
      <c r="J15" s="6"/>
    </row>
    <row r="16" spans="1:10" ht="31.5" x14ac:dyDescent="0.25">
      <c r="A16" t="s">
        <v>175</v>
      </c>
      <c r="B16" s="6" t="s">
        <v>252</v>
      </c>
      <c r="E16" t="s">
        <v>416</v>
      </c>
      <c r="F16">
        <v>1</v>
      </c>
      <c r="J16" s="6"/>
    </row>
    <row r="17" spans="1:10" ht="31.5" x14ac:dyDescent="0.25">
      <c r="A17" t="s">
        <v>163</v>
      </c>
      <c r="B17" s="6" t="s">
        <v>238</v>
      </c>
      <c r="E17" t="s">
        <v>417</v>
      </c>
      <c r="F17">
        <v>1</v>
      </c>
      <c r="J17" s="6"/>
    </row>
    <row r="18" spans="1:10" ht="31.5" x14ac:dyDescent="0.25">
      <c r="A18" t="s">
        <v>174</v>
      </c>
      <c r="B18" s="6" t="s">
        <v>239</v>
      </c>
      <c r="E18" t="s">
        <v>418</v>
      </c>
      <c r="F18">
        <v>1</v>
      </c>
      <c r="J18" s="6"/>
    </row>
    <row r="19" spans="1:10" ht="31.5" x14ac:dyDescent="0.25">
      <c r="A19" t="s">
        <v>253</v>
      </c>
      <c r="B19" s="6" t="s">
        <v>236</v>
      </c>
      <c r="J19" s="6"/>
    </row>
    <row r="20" spans="1:10" ht="31.5" x14ac:dyDescent="0.25">
      <c r="A20" t="s">
        <v>250</v>
      </c>
      <c r="B20" s="6" t="s">
        <v>245</v>
      </c>
      <c r="J20" s="6"/>
    </row>
    <row r="21" spans="1:10" ht="31.5" x14ac:dyDescent="0.25">
      <c r="A21" t="s">
        <v>234</v>
      </c>
      <c r="B21" s="6" t="s">
        <v>240</v>
      </c>
      <c r="J21" s="6"/>
    </row>
    <row r="22" spans="1:10" ht="31.5" x14ac:dyDescent="0.25">
      <c r="A22" t="s">
        <v>177</v>
      </c>
      <c r="B22" s="6" t="s">
        <v>241</v>
      </c>
      <c r="J22" s="6"/>
    </row>
    <row r="23" spans="1:10" ht="31.5" x14ac:dyDescent="0.25">
      <c r="A23" t="s">
        <v>178</v>
      </c>
      <c r="B23" s="6" t="s">
        <v>242</v>
      </c>
      <c r="J23" s="6"/>
    </row>
    <row r="24" spans="1:10" ht="31.5" x14ac:dyDescent="0.25">
      <c r="A24" t="s">
        <v>182</v>
      </c>
      <c r="B24" s="6" t="s">
        <v>243</v>
      </c>
      <c r="J24" s="6"/>
    </row>
    <row r="25" spans="1:10" ht="31.5" x14ac:dyDescent="0.25">
      <c r="A25" t="s">
        <v>183</v>
      </c>
      <c r="B25" s="6" t="s">
        <v>179</v>
      </c>
      <c r="J25" s="6"/>
    </row>
    <row r="26" spans="1:10" ht="31.5" x14ac:dyDescent="0.25">
      <c r="A26" t="s">
        <v>184</v>
      </c>
      <c r="B26" s="6" t="s">
        <v>235</v>
      </c>
      <c r="J26" s="6"/>
    </row>
    <row r="27" spans="1:10" ht="31.5" x14ac:dyDescent="0.25">
      <c r="A27" t="s">
        <v>185</v>
      </c>
      <c r="B27" s="6" t="s">
        <v>180</v>
      </c>
      <c r="J27" s="6"/>
    </row>
    <row r="28" spans="1:10" ht="31.5" x14ac:dyDescent="0.25">
      <c r="A28" t="s">
        <v>284</v>
      </c>
      <c r="B28" s="6" t="s">
        <v>181</v>
      </c>
      <c r="J28" s="6"/>
    </row>
    <row r="29" spans="1:10" x14ac:dyDescent="0.25">
      <c r="A29" t="s">
        <v>176</v>
      </c>
      <c r="B29" t="s">
        <v>134</v>
      </c>
    </row>
    <row r="30" spans="1:10" ht="31.5" x14ac:dyDescent="0.25">
      <c r="A30" t="s">
        <v>221</v>
      </c>
      <c r="B30" s="6" t="s">
        <v>222</v>
      </c>
      <c r="J30" s="6"/>
    </row>
    <row r="31" spans="1:10" ht="31.5" x14ac:dyDescent="0.25">
      <c r="A31" t="s">
        <v>223</v>
      </c>
      <c r="B31" s="6" t="s">
        <v>248</v>
      </c>
      <c r="J31" s="6"/>
    </row>
    <row r="32" spans="1:10" ht="31.5" x14ac:dyDescent="0.25">
      <c r="A32" t="s">
        <v>224</v>
      </c>
      <c r="B32" s="6" t="s">
        <v>247</v>
      </c>
      <c r="J32" s="6"/>
    </row>
    <row r="33" spans="1:10" ht="31.5" x14ac:dyDescent="0.25">
      <c r="A33" t="s">
        <v>244</v>
      </c>
      <c r="B33" s="6" t="s">
        <v>246</v>
      </c>
      <c r="J33" s="6"/>
    </row>
    <row r="34" spans="1:10" x14ac:dyDescent="0.25">
      <c r="B34" s="6"/>
      <c r="J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41"/>
  <sheetViews>
    <sheetView topLeftCell="A16" workbookViewId="0">
      <selection activeCell="A54" sqref="A54"/>
    </sheetView>
  </sheetViews>
  <sheetFormatPr defaultRowHeight="15.75" x14ac:dyDescent="0.25"/>
  <cols>
    <col min="1" max="1" width="26.85546875" customWidth="1"/>
    <col min="2" max="2" width="24.7109375" customWidth="1"/>
  </cols>
  <sheetData>
    <row r="1" spans="1:2" ht="16.5" x14ac:dyDescent="0.25">
      <c r="A1" s="26" t="s">
        <v>403</v>
      </c>
      <c r="B1" s="26" t="s">
        <v>407</v>
      </c>
    </row>
    <row r="2" spans="1:2" ht="16.5" x14ac:dyDescent="0.25">
      <c r="A2" s="26" t="s">
        <v>404</v>
      </c>
      <c r="B2" s="26"/>
    </row>
    <row r="3" spans="1:2" x14ac:dyDescent="0.25">
      <c r="A3" t="s">
        <v>355</v>
      </c>
      <c r="B3" t="s">
        <v>357</v>
      </c>
    </row>
    <row r="4" spans="1:2" x14ac:dyDescent="0.25">
      <c r="A4" t="s">
        <v>356</v>
      </c>
      <c r="B4" t="s">
        <v>358</v>
      </c>
    </row>
    <row r="6" spans="1:2" ht="16.5" x14ac:dyDescent="0.25">
      <c r="A6" s="26" t="s">
        <v>405</v>
      </c>
      <c r="B6" s="26"/>
    </row>
    <row r="7" spans="1:2" x14ac:dyDescent="0.25">
      <c r="A7" t="s">
        <v>359</v>
      </c>
      <c r="B7" t="s">
        <v>360</v>
      </c>
    </row>
    <row r="8" spans="1:2" x14ac:dyDescent="0.25">
      <c r="A8" t="s">
        <v>361</v>
      </c>
      <c r="B8" t="s">
        <v>362</v>
      </c>
    </row>
    <row r="9" spans="1:2" x14ac:dyDescent="0.25">
      <c r="A9" t="s">
        <v>363</v>
      </c>
      <c r="B9" t="s">
        <v>364</v>
      </c>
    </row>
    <row r="10" spans="1:2" x14ac:dyDescent="0.25">
      <c r="A10" t="s">
        <v>365</v>
      </c>
      <c r="B10" t="s">
        <v>366</v>
      </c>
    </row>
    <row r="11" spans="1:2" x14ac:dyDescent="0.25">
      <c r="A11" t="s">
        <v>367</v>
      </c>
      <c r="B11" t="s">
        <v>368</v>
      </c>
    </row>
    <row r="12" spans="1:2" x14ac:dyDescent="0.25">
      <c r="A12" t="s">
        <v>409</v>
      </c>
      <c r="B12" t="s">
        <v>408</v>
      </c>
    </row>
    <row r="13" spans="1:2" x14ac:dyDescent="0.25">
      <c r="A13" t="s">
        <v>397</v>
      </c>
      <c r="B13" t="s">
        <v>398</v>
      </c>
    </row>
    <row r="14" spans="1:2" x14ac:dyDescent="0.25">
      <c r="A14" t="s">
        <v>369</v>
      </c>
      <c r="B14" t="s">
        <v>370</v>
      </c>
    </row>
    <row r="15" spans="1:2" x14ac:dyDescent="0.25">
      <c r="A15" t="s">
        <v>371</v>
      </c>
      <c r="B15" t="s">
        <v>372</v>
      </c>
    </row>
    <row r="17" spans="1:2" ht="16.5" x14ac:dyDescent="0.25">
      <c r="A17" s="26" t="s">
        <v>406</v>
      </c>
      <c r="B17" s="26"/>
    </row>
    <row r="18" spans="1:2" x14ac:dyDescent="0.25">
      <c r="A18" t="s">
        <v>226</v>
      </c>
      <c r="B18" t="s">
        <v>373</v>
      </c>
    </row>
    <row r="19" spans="1:2" x14ac:dyDescent="0.25">
      <c r="A19" t="s">
        <v>227</v>
      </c>
      <c r="B19" t="s">
        <v>374</v>
      </c>
    </row>
    <row r="20" spans="1:2" x14ac:dyDescent="0.25">
      <c r="A20" t="s">
        <v>228</v>
      </c>
      <c r="B20" t="s">
        <v>376</v>
      </c>
    </row>
    <row r="21" spans="1:2" x14ac:dyDescent="0.25">
      <c r="A21" t="s">
        <v>229</v>
      </c>
      <c r="B21" t="s">
        <v>377</v>
      </c>
    </row>
    <row r="22" spans="1:2" x14ac:dyDescent="0.25">
      <c r="A22" t="s">
        <v>162</v>
      </c>
      <c r="B22" t="s">
        <v>378</v>
      </c>
    </row>
    <row r="23" spans="1:2" x14ac:dyDescent="0.25">
      <c r="A23" t="s">
        <v>173</v>
      </c>
      <c r="B23" t="s">
        <v>379</v>
      </c>
    </row>
    <row r="24" spans="1:2" x14ac:dyDescent="0.25">
      <c r="A24" t="s">
        <v>175</v>
      </c>
      <c r="B24" t="s">
        <v>380</v>
      </c>
    </row>
    <row r="25" spans="1:2" x14ac:dyDescent="0.25">
      <c r="A25" t="s">
        <v>163</v>
      </c>
      <c r="B25" t="s">
        <v>375</v>
      </c>
    </row>
    <row r="26" spans="1:2" x14ac:dyDescent="0.25">
      <c r="A26" t="s">
        <v>174</v>
      </c>
      <c r="B26" t="s">
        <v>381</v>
      </c>
    </row>
    <row r="27" spans="1:2" x14ac:dyDescent="0.25">
      <c r="A27" t="s">
        <v>253</v>
      </c>
      <c r="B27" t="s">
        <v>382</v>
      </c>
    </row>
    <row r="28" spans="1:2" x14ac:dyDescent="0.25">
      <c r="A28" t="s">
        <v>250</v>
      </c>
      <c r="B28" t="s">
        <v>383</v>
      </c>
    </row>
    <row r="29" spans="1:2" x14ac:dyDescent="0.25">
      <c r="A29" t="s">
        <v>234</v>
      </c>
      <c r="B29" t="s">
        <v>384</v>
      </c>
    </row>
    <row r="30" spans="1:2" x14ac:dyDescent="0.25">
      <c r="A30" t="s">
        <v>177</v>
      </c>
      <c r="B30" t="s">
        <v>385</v>
      </c>
    </row>
    <row r="31" spans="1:2" x14ac:dyDescent="0.25">
      <c r="A31" t="s">
        <v>178</v>
      </c>
      <c r="B31" t="s">
        <v>386</v>
      </c>
    </row>
    <row r="32" spans="1:2" x14ac:dyDescent="0.25">
      <c r="A32" t="s">
        <v>182</v>
      </c>
      <c r="B32" t="s">
        <v>387</v>
      </c>
    </row>
    <row r="33" spans="1:2" x14ac:dyDescent="0.25">
      <c r="A33" t="s">
        <v>183</v>
      </c>
      <c r="B33" t="s">
        <v>388</v>
      </c>
    </row>
    <row r="34" spans="1:2" x14ac:dyDescent="0.25">
      <c r="A34" t="s">
        <v>184</v>
      </c>
      <c r="B34" t="s">
        <v>389</v>
      </c>
    </row>
    <row r="35" spans="1:2" x14ac:dyDescent="0.25">
      <c r="A35" t="s">
        <v>185</v>
      </c>
      <c r="B35" t="s">
        <v>390</v>
      </c>
    </row>
    <row r="36" spans="1:2" x14ac:dyDescent="0.25">
      <c r="A36" t="s">
        <v>284</v>
      </c>
      <c r="B36" t="s">
        <v>391</v>
      </c>
    </row>
    <row r="37" spans="1:2" x14ac:dyDescent="0.25">
      <c r="A37" t="s">
        <v>176</v>
      </c>
      <c r="B37" t="s">
        <v>392</v>
      </c>
    </row>
    <row r="38" spans="1:2" x14ac:dyDescent="0.25">
      <c r="A38" t="s">
        <v>221</v>
      </c>
      <c r="B38" t="s">
        <v>393</v>
      </c>
    </row>
    <row r="39" spans="1:2" x14ac:dyDescent="0.25">
      <c r="A39" t="s">
        <v>223</v>
      </c>
      <c r="B39" t="s">
        <v>394</v>
      </c>
    </row>
    <row r="40" spans="1:2" x14ac:dyDescent="0.25">
      <c r="A40" t="s">
        <v>224</v>
      </c>
      <c r="B40" t="s">
        <v>395</v>
      </c>
    </row>
    <row r="41" spans="1:2" x14ac:dyDescent="0.25">
      <c r="A41" t="s">
        <v>244</v>
      </c>
      <c r="B41" t="s">
        <v>396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0" tint="-0.499984740745262"/>
  </sheetPr>
  <dimension ref="A1:H30"/>
  <sheetViews>
    <sheetView workbookViewId="0">
      <selection activeCell="A15" sqref="A15"/>
    </sheetView>
  </sheetViews>
  <sheetFormatPr defaultColWidth="21.28515625" defaultRowHeight="15.75" x14ac:dyDescent="0.25"/>
  <cols>
    <col min="1" max="1" width="83.5703125" style="22" customWidth="1"/>
    <col min="2" max="2" width="48.28515625" style="22" customWidth="1"/>
    <col min="3" max="3" width="30" style="22" customWidth="1"/>
    <col min="4" max="4" width="11.85546875" style="22" customWidth="1"/>
    <col min="5" max="5" width="22" style="22" customWidth="1"/>
    <col min="6" max="16384" width="21.28515625" style="22"/>
  </cols>
  <sheetData>
    <row r="1" spans="1:4" ht="16.5" x14ac:dyDescent="0.25">
      <c r="A1" s="21" t="s">
        <v>324</v>
      </c>
      <c r="B1" s="21" t="s">
        <v>319</v>
      </c>
      <c r="C1" s="21" t="s">
        <v>328</v>
      </c>
    </row>
    <row r="2" spans="1:4" x14ac:dyDescent="0.25">
      <c r="A2" s="23" t="s">
        <v>327</v>
      </c>
      <c r="B2" s="22" t="s">
        <v>340</v>
      </c>
      <c r="C2" s="24">
        <v>1024</v>
      </c>
    </row>
    <row r="3" spans="1:4" x14ac:dyDescent="0.25">
      <c r="B3" s="24" t="s">
        <v>345</v>
      </c>
    </row>
    <row r="4" spans="1:4" x14ac:dyDescent="0.25">
      <c r="B4" s="24" t="s">
        <v>349</v>
      </c>
    </row>
    <row r="5" spans="1:4" x14ac:dyDescent="0.25">
      <c r="B5" s="24" t="s">
        <v>346</v>
      </c>
    </row>
    <row r="6" spans="1:4" ht="16.5" x14ac:dyDescent="0.25">
      <c r="A6" s="26" t="s">
        <v>325</v>
      </c>
      <c r="B6" s="24" t="s">
        <v>347</v>
      </c>
      <c r="C6" s="25"/>
      <c r="D6" s="25"/>
    </row>
    <row r="7" spans="1:4" x14ac:dyDescent="0.25">
      <c r="A7" s="25" t="s">
        <v>330</v>
      </c>
      <c r="B7" s="24" t="s">
        <v>348</v>
      </c>
      <c r="C7" s="25"/>
      <c r="D7" s="25"/>
    </row>
    <row r="8" spans="1:4" x14ac:dyDescent="0.25">
      <c r="A8" s="25" t="s">
        <v>341</v>
      </c>
      <c r="B8" s="25"/>
      <c r="C8" s="25"/>
      <c r="D8" s="25"/>
    </row>
    <row r="9" spans="1:4" x14ac:dyDescent="0.25">
      <c r="A9" s="25" t="s">
        <v>331</v>
      </c>
      <c r="B9" s="25"/>
      <c r="C9" s="25"/>
      <c r="D9" s="25"/>
    </row>
    <row r="10" spans="1:4" x14ac:dyDescent="0.25">
      <c r="A10" s="25" t="s">
        <v>334</v>
      </c>
      <c r="B10" s="25"/>
      <c r="C10" s="25"/>
      <c r="D10" s="25"/>
    </row>
    <row r="11" spans="1:4" x14ac:dyDescent="0.25">
      <c r="A11" s="25" t="s">
        <v>335</v>
      </c>
      <c r="B11" s="25"/>
      <c r="C11" s="25"/>
      <c r="D11" s="25"/>
    </row>
    <row r="12" spans="1:4" x14ac:dyDescent="0.25">
      <c r="A12" s="25" t="s">
        <v>336</v>
      </c>
      <c r="B12" s="25"/>
      <c r="C12" s="25"/>
      <c r="D12" s="25"/>
    </row>
    <row r="13" spans="1:4" x14ac:dyDescent="0.25">
      <c r="A13" s="25"/>
      <c r="B13" s="25"/>
      <c r="C13" s="25"/>
      <c r="D13" s="25"/>
    </row>
    <row r="19" spans="1:8" ht="16.5" x14ac:dyDescent="0.25">
      <c r="A19" s="26" t="s">
        <v>320</v>
      </c>
      <c r="B19" s="26"/>
      <c r="C19" s="24"/>
      <c r="D19" s="24"/>
    </row>
    <row r="20" spans="1:8" ht="16.5" x14ac:dyDescent="0.25">
      <c r="A20" s="26" t="s">
        <v>322</v>
      </c>
      <c r="B20" s="26" t="s">
        <v>323</v>
      </c>
      <c r="C20" s="24"/>
      <c r="D20" s="24"/>
      <c r="F20" s="27"/>
      <c r="G20" s="27"/>
      <c r="H20" s="27"/>
    </row>
    <row r="21" spans="1:8" x14ac:dyDescent="0.25">
      <c r="A21" s="28" t="s">
        <v>329</v>
      </c>
      <c r="B21" s="28" t="s">
        <v>344</v>
      </c>
      <c r="C21" s="24"/>
      <c r="D21" s="24"/>
      <c r="F21" s="27"/>
      <c r="G21" s="27"/>
      <c r="H21" s="27"/>
    </row>
    <row r="22" spans="1:8" x14ac:dyDescent="0.25">
      <c r="A22" s="28" t="s">
        <v>343</v>
      </c>
      <c r="B22" s="28" t="s">
        <v>333</v>
      </c>
      <c r="C22" s="27"/>
      <c r="D22" s="27"/>
      <c r="F22" s="27"/>
      <c r="G22" s="27"/>
      <c r="H22" s="27"/>
    </row>
    <row r="23" spans="1:8" x14ac:dyDescent="0.25">
      <c r="A23" s="28" t="s">
        <v>342</v>
      </c>
      <c r="B23" s="28" t="s">
        <v>332</v>
      </c>
      <c r="C23" s="27"/>
      <c r="D23" s="27"/>
      <c r="F23" s="27"/>
      <c r="G23" s="27"/>
      <c r="H23" s="27"/>
    </row>
    <row r="24" spans="1:8" x14ac:dyDescent="0.25">
      <c r="A24" s="28" t="s">
        <v>337</v>
      </c>
      <c r="B24" s="28" t="s">
        <v>338</v>
      </c>
      <c r="C24" s="27"/>
      <c r="D24" s="27"/>
      <c r="F24" s="27"/>
      <c r="G24" s="27"/>
      <c r="H24" s="27"/>
    </row>
    <row r="25" spans="1:8" x14ac:dyDescent="0.25">
      <c r="A25" s="28"/>
      <c r="B25" s="28"/>
      <c r="C25" s="27"/>
      <c r="D25" s="27"/>
      <c r="F25" s="27"/>
      <c r="G25" s="27"/>
      <c r="H25" s="27"/>
    </row>
    <row r="26" spans="1:8" ht="15.75" customHeight="1" x14ac:dyDescent="0.25">
      <c r="C26" s="27"/>
      <c r="D26" s="27"/>
      <c r="F26" s="27"/>
      <c r="G26" s="27"/>
      <c r="H26" s="27"/>
    </row>
    <row r="27" spans="1:8" ht="15.75" customHeight="1" x14ac:dyDescent="0.25">
      <c r="C27" s="27"/>
      <c r="D27" s="27"/>
      <c r="F27" s="27"/>
      <c r="G27" s="27"/>
      <c r="H27" s="27"/>
    </row>
    <row r="28" spans="1:8" ht="15.75" customHeight="1" x14ac:dyDescent="0.25">
      <c r="C28" s="27"/>
      <c r="D28" s="27"/>
      <c r="F28" s="27"/>
      <c r="G28" s="27"/>
      <c r="H28" s="27"/>
    </row>
    <row r="29" spans="1:8" ht="15.75" customHeight="1" x14ac:dyDescent="0.25">
      <c r="C29" s="27"/>
      <c r="D29" s="27"/>
      <c r="F29" s="27"/>
      <c r="G29" s="27"/>
      <c r="H29" s="27"/>
    </row>
    <row r="30" spans="1:8" x14ac:dyDescent="0.25">
      <c r="A30" s="27"/>
      <c r="B30" s="27"/>
      <c r="C30" s="27"/>
      <c r="D30" s="27"/>
      <c r="E30" s="33"/>
      <c r="F30" s="33"/>
      <c r="G30" s="33"/>
      <c r="H30" s="33"/>
    </row>
  </sheetData>
  <mergeCells count="1">
    <mergeCell ref="E30:H30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10</vt:i4>
      </vt:variant>
    </vt:vector>
  </HeadingPairs>
  <TitlesOfParts>
    <vt:vector size="16" baseType="lpstr">
      <vt:lpstr>Supply</vt:lpstr>
      <vt:lpstr>SupplyEffect</vt:lpstr>
      <vt:lpstr>Info</vt:lpstr>
      <vt:lpstr>Setting</vt:lpstr>
      <vt:lpstr>效果文字生成設定</vt:lpstr>
      <vt:lpstr>AISetting(太慢 不使用)</vt:lpstr>
      <vt:lpstr>APIKey</vt:lpstr>
      <vt:lpstr>Token數</vt:lpstr>
      <vt:lpstr>目標文字</vt:lpstr>
      <vt:lpstr>其他文字</vt:lpstr>
      <vt:lpstr>效果文字</vt:lpstr>
      <vt:lpstr>規格設定</vt:lpstr>
      <vt:lpstr>模型</vt:lpstr>
      <vt:lpstr>範例輸入</vt:lpstr>
      <vt:lpstr>範例輸出</vt:lpstr>
      <vt:lpstr>輸出規範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2023-05-22T09:46:04Z</dcterms:modified>
</cp:coreProperties>
</file>