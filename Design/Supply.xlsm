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8" l="1"/>
  <c r="A11" i="8"/>
  <c r="A10" i="8"/>
  <c r="A6" i="8"/>
  <c r="A5" i="8"/>
  <c r="A3" i="8"/>
  <c r="B10" i="8"/>
  <c r="E11" i="1"/>
  <c r="E10" i="1" l="1"/>
  <c r="E7" i="1" l="1"/>
  <c r="E6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X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<sst xmlns="http://schemas.openxmlformats.org/spreadsheetml/2006/main" count="328" uniqueCount="269">
  <si>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</si>
  <si>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</si>
  <si>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</si>
  <si>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</si>
  <si>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</si>
  <si>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</si>
  <si>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</si>
  <si>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</si>
  <si>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</si>
  <si>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</si>
  <si>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</si>
  <si>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</si>
  <si>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</si>
  <si>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</si>
  <si>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</si>
  <si>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</si>
  <si>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</si>
  <si>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</si>
  <si>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</si>
  <si>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</si>
  <si>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</si>
  <si>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</si>
  <si>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</si>
  <si>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</si>
  <si>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</si>
  <si>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</si>
  <si>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</si>
  <si>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</si>
  <si>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</si>
  <si>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</si>
  <si>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</si>
  <si>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</si>
  <si>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</si>
  <si>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</si>
  <si>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</si>
  <si>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</si>
  <si>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</si>
  <si>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</si>
  <si>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</si>
  <si>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</si>
  <si>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</si>
  <si>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</si>
  <si>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</si>
  <si>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</si>
  <si>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</si>
  <si>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</si>
  <si>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</si>
  <si>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</si>
  <si>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</si>
  <si>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</si>
  <si>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</si>
  <si>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</si>
  <si>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</si>
  <si>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</si>
  <si>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</si>
  <si>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</si>
  <si>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</si>
  <si>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</si>
  <si>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</si>
  <si>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</si>
  <si>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</si>
  <si>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</si>
  <si>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</si>
  <si>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</si>
  <si>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</si>
  <si>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</si>
  <si>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</si>
  <si>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</si>
  <si>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</si>
  <si>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</si>
  <si>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</si>
  <si>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</si>
  <si>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</si>
  <si>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</si>
  <si>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</si>
  <si>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</si>
  <si>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</si>
  <si>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</si>
  <si>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</si>
  <si>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</si>
  <si>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</si>
  <si>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</si>
  <si>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</si>
  <si>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</si>
  <si>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</si>
  <si>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</si>
  <si>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</si>
  <si>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</si>
  <si>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</si>
  <si>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</si>
  <si>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</si>
  <si>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</si>
  <si>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</si>
  <si>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</si>
  <si>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</si>
  <si>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</si>
  <si>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</si>
  <si>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</si>
  <si>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</si>
  <si>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</si>
  <si>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</si>
  <si>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</si>
  <si>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</si>
  <si>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</si>
  <si>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</si>
  <si>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</si>
  <si>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</si>
  <si>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</si>
  <si>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</si>
  <si>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</si>
  <si>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</si>
  <si>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</si>
  <si>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</si>
  <si>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</si>
  <si>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</si>
  <si>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</si>
  <si>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</si>
  <si>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</si>
  <si>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</si>
  <si>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</si>
  <si>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</si>
  <si>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</si>
  <si>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</si>
  <si>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</si>
  <si>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</si>
  <si>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</si>
  <si>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</si>
  <si>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</si>
  <si>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</si>
  <si>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</si>
  <si>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</si>
  <si>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</si>
  <si>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</si>
  <si>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</si>
  <si>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</si>
  <si>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</si>
  <si>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</si>
  <si>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</si>
  <si>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</si>
  <si>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</si>
  <si>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</si>
  <si>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</si>
  <si>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</si>
  <si>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</si>
  <si>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</si>
  <si>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</si>
  <si>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</si>
  <si>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</si>
  <si>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</si>
  <si>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</si>
  <si>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</si>
  <si>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</si>
  <si>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</si>
  <si>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</si>
  <si>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</si>
  <si>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</si>
  <si>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</si>
  <si>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</si>
  <si>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</si>
  <si>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</si>
  <si>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</si>
  <si>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</si>
  <si>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</si>
  <si>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</si>
  <si>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</si>
  <si>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</si>
  <si>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</si>
  <si>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</si>
  <si>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</si>
  <si>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</si>
  <si>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</si>
  <si>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</si>
  <si>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</si>
  <si>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</si>
  <si>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</si>
  <si>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</si>
  <si>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</si>
  <si>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</si>
  <si>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</si>
  <si>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</si>
  <si>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-5</t>
    <phoneticPr fontId="1" type="noConversion"/>
  </si>
  <si>
    <t>意志-5</t>
    <phoneticPr fontId="1" type="noConversion"/>
  </si>
  <si>
    <t>傷害50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</si>
  <si>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</si>
  <si>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</si>
  <si>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</si>
  <si>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</si>
  <si>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</si>
  <si>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</si>
  <si>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</si>
  <si>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</si>
  <si>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</si>
  <si>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</si>
  <si>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</si>
  <si>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</si>
  <si>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基本肉搏</t>
    <phoneticPr fontId="1" type="noConversion"/>
  </si>
  <si>
    <t>-8</t>
    <phoneticPr fontId="1" type="noConversion"/>
  </si>
  <si>
    <t>Lighting</t>
    <phoneticPr fontId="1" type="noConversion"/>
  </si>
  <si>
    <t>Food</t>
    <phoneticPr fontId="1" type="noConversion"/>
  </si>
  <si>
    <t>Heavy</t>
    <phoneticPr fontId="1" type="noConversion"/>
  </si>
  <si>
    <t>Melee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</si>
  <si>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</si>
  <si>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</si>
  <si>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</si>
  <si>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Evade</t>
    <phoneticPr fontId="1" type="noConversion"/>
  </si>
  <si>
    <t>Calm</t>
    <phoneticPr fontId="1" type="noConversion"/>
  </si>
  <si>
    <t>Flee</t>
    <phoneticPr fontId="1" type="noConversion"/>
  </si>
  <si>
    <t>Focus</t>
    <phoneticPr fontId="1" type="noConversion"/>
  </si>
  <si>
    <t>Horror</t>
    <phoneticPr fontId="1" type="noConversion"/>
  </si>
  <si>
    <t>生命
可以是傷害或恢復生命</t>
    <phoneticPr fontId="1" type="noConversion"/>
  </si>
  <si>
    <t>理智
可以是傷害或恢復神智</t>
    <phoneticPr fontId="1" type="noConversion"/>
  </si>
  <si>
    <t>流血
流血效果，在受到攻擊時受到額外的層數傷害
每次受到攻擊都會受到 層數的傷害 例如目前5層 每次受到攻擊都會受到5點傷害</t>
    <phoneticPr fontId="1" type="noConversion"/>
  </si>
  <si>
    <t>專注
專注效果，攻擊時增加層數的傷害
攻擊時增加層數的傷害</t>
    <phoneticPr fontId="1" type="noConversion"/>
  </si>
  <si>
    <t>恐怖
恐怖效果，攻擊時增加層數的傷害
攻擊時增加層數的傷害</t>
    <phoneticPr fontId="1" type="noConversion"/>
  </si>
  <si>
    <t>迴避
迴避效果，減少下次受到的傷害並移除相應層數
減少下次受到的傷害 如果有2層 下次受到攻擊時傷害減少2 並移除2層</t>
    <phoneticPr fontId="1" type="noConversion"/>
  </si>
  <si>
    <t>冷靜
冷靜效果，減少下次受到的神智傷害並移除相應層數
減少下次受到的神智傷害 如果有2層 下次受到攻擊時神智傷害減少2 並移除2層</t>
    <phoneticPr fontId="1" type="noConversion"/>
  </si>
  <si>
    <t>中毒
中毒效果，在行動後受到行動消耗秒數的傷害並移除相應層數
每次腳色行動後受到行動消耗s的傷害並移除s層數 假設目前5層 此行動消耗3s 發動完此行動會受到3的傷害並移除3層剩下2層
如果目前2層 此行動消耗3s 發動完此行動只會受到2傷害 並剩下0層
戰鬥後不會移除效果 要休息,完成冒險,使用道具來解除</t>
    <phoneticPr fontId="1" type="noConversion"/>
  </si>
  <si>
    <t>神智崩潰
精神崩潰效果，行動後受到行動消耗秒數的神智傷害並移除相應層數
每次腳色行動後受到行動消耗s的神智傷害並移除s層數 假設目前5層 此行動消耗3s 發動完此行動會受到3的神智傷害並移除3層剩下2層
如果目前2層 此行動消耗3s 發動完此行動只會受到2傷害 並剩下0層
戰鬥後不會移除效果 要休息,完成冒險,使用道具來解除</t>
    <phoneticPr fontId="1" type="noConversion"/>
  </si>
  <si>
    <t>恐懼
恐懼效果，攻擊時增加層數的傷害
每次受到攻擊都會受到 層數的神智傷害 例如目前5層 每次受到攻擊都會受到5點神智傷害</t>
  </si>
  <si>
    <t>Protection</t>
    <phoneticPr fontId="1" type="noConversion"/>
  </si>
  <si>
    <t>解毒
解除中毒狀態</t>
    <phoneticPr fontId="1" type="noConversion"/>
  </si>
  <si>
    <t>堅毅
受到的神智傷害降低層數</t>
    <phoneticPr fontId="1" type="noConversion"/>
  </si>
  <si>
    <t>恢復理智
解除精神崩潰狀態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</si>
  <si>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</si>
  <si>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</si>
  <si>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</si>
  <si>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</si>
  <si>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</si>
  <si>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</si>
  <si>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防護
受到的傷害降低層數</t>
    <phoneticPr fontId="1" type="noConversion"/>
  </si>
  <si>
    <t>Strong</t>
    <phoneticPr fontId="1" type="noConversion"/>
  </si>
  <si>
    <t>暈眩
暈眩效果，使行動消耗增加
消耗行動耗時追加層數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</si>
  <si>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</si>
  <si>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</si>
  <si>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</si>
  <si>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</si>
  <si>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</si>
  <si>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</si>
  <si>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</si>
  <si>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</si>
  <si>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</si>
  <si>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</si>
  <si>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</si>
  <si>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</si>
  <si>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</si>
  <si>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</si>
  <si>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</si>
  <si>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</si>
  <si>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</si>
  <si>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</si>
  <si>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</si>
  <si>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</si>
  <si>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</si>
  <si>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</si>
  <si>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</si>
  <si>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</si>
  <si>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</si>
  <si>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</si>
  <si>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</si>
  <si>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</si>
  <si>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</si>
  <si>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</si>
  <si>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</si>
  <si>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</si>
  <si>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</si>
  <si>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</si>
  <si>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-10</t>
    <phoneticPr fontId="1" type="noConversion"/>
  </si>
  <si>
    <t>Dizzy</t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</si>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</sst>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2" sqref="F12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164</v>
      </c>
      <c r="G1" s="14" t="s">
        <v>175</v>
      </c>
      <c r="H1" s="9" t="s">
        <v>159</v>
      </c>
      <c r="I1" s="9" t="s">
        <v>160</v>
      </c>
      <c r="J1" s="9" t="s">
        <v>187</v>
      </c>
      <c r="K1" s="9" t="s">
        <v>130</v>
      </c>
      <c r="L1" s="9" t="s">
        <v>176</v>
      </c>
    </row>
    <row r="2" spans="1:13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165</v>
      </c>
      <c r="G2" s="14" t="s">
        <v>174</v>
      </c>
      <c r="H2" s="9" t="s">
        <v>161</v>
      </c>
      <c r="I2" s="9" t="s">
        <v>162</v>
      </c>
      <c r="J2" s="9" t="s">
        <v>186</v>
      </c>
      <c r="K2" s="9" t="s">
        <v>131</v>
      </c>
      <c r="L2" s="9" t="s">
        <v>132</v>
      </c>
    </row>
    <row r="5" spans="1:13">
      <c r="B5" s="12" t="s">
        <v>193</v>
      </c>
      <c r="C5" s="16"/>
      <c r="E5" s="10"/>
      <c r="G5" s="10"/>
      <c r="M5" s="10"/>
    </row>
    <row r="6" spans="1:13">
      <c r="A6" s="10">
        <v>1</v>
      </c>
      <c r="B6" s="13" t="s">
        <v>127</v>
      </c>
      <c r="C6" s="16" t="s">
        <v>135</v>
      </c>
      <c r="D6" s="13">
        <v>1</v>
      </c>
      <c r="E6" s="10" t="str">
        <f>"supply"&amp;A6</f>
        <v>supply1</v>
      </c>
      <c r="F6" s="10" t="s">
        <v>166</v>
      </c>
      <c r="G6" s="10"/>
      <c r="H6" s="10">
        <v>10</v>
      </c>
      <c r="I6" s="10">
        <v>10</v>
      </c>
      <c r="J6" s="10" t="s">
        <v>192</v>
      </c>
      <c r="K6" s="10">
        <v>1</v>
      </c>
      <c r="L6" s="10">
        <v>1</v>
      </c>
      <c r="M6" s="10"/>
    </row>
    <row r="7" spans="1:13">
      <c r="A7" s="10">
        <v>2</v>
      </c>
      <c r="B7" s="13" t="s">
        <v>136</v>
      </c>
      <c r="C7" s="16" t="s">
        <v>158</v>
      </c>
      <c r="D7" s="13">
        <v>1</v>
      </c>
      <c r="E7" s="10" t="str">
        <f>"supply"&amp;A7</f>
        <v>supply2</v>
      </c>
      <c r="F7" s="10" t="s">
        <v>167</v>
      </c>
      <c r="G7" s="10"/>
      <c r="J7" s="10" t="s">
        <v>192</v>
      </c>
      <c r="K7" s="10">
        <v>7</v>
      </c>
      <c r="L7" s="10">
        <v>2</v>
      </c>
      <c r="M7" s="10"/>
    </row>
    <row r="8" spans="1:13">
      <c r="B8" s="13"/>
      <c r="C8" s="16"/>
      <c r="E8" s="10"/>
      <c r="G8" s="10"/>
      <c r="M8" s="10"/>
    </row>
    <row r="9" spans="1:13">
      <c r="B9" s="12" t="s">
        <v>183</v>
      </c>
      <c r="C9" s="16"/>
      <c r="E9" s="10"/>
      <c r="G9" s="10"/>
      <c r="M9" s="10"/>
    </row>
    <row r="10" spans="1:13">
      <c r="A10" s="10">
        <v>10001</v>
      </c>
      <c r="B10" s="13" t="s">
        <v>184</v>
      </c>
      <c r="C10" s="16" t="s">
        <v>195</v>
      </c>
      <c r="D10" s="13">
        <v>1</v>
      </c>
      <c r="E10" s="10" t="str">
        <f>"supply"&amp;A10</f>
        <v>supply10001</v>
      </c>
      <c r="F10" s="10" t="s">
        <v>185</v>
      </c>
      <c r="G10" s="10"/>
      <c r="J10" s="10" t="s">
        <v>192</v>
      </c>
      <c r="L10" s="10">
        <v>2</v>
      </c>
      <c r="M10" s="10"/>
    </row>
    <row r="11" spans="1:13">
      <c r="A11" s="10">
        <v>10002</v>
      </c>
      <c r="B11" s="13" t="s">
        <v>194</v>
      </c>
      <c r="C11" s="16" t="s">
        <v>195</v>
      </c>
      <c r="D11" s="13">
        <v>1</v>
      </c>
      <c r="E11" s="10" t="str">
        <f>"supply"&amp;A11</f>
        <v>supply10002</v>
      </c>
      <c r="F11" s="10" t="s">
        <v>185</v>
      </c>
      <c r="G11" s="10"/>
      <c r="J11" s="10" t="s">
        <v>192</v>
      </c>
      <c r="L11" s="10">
        <v>1</v>
      </c>
      <c r="M11" s="10"/>
    </row>
    <row r="12" spans="1:13">
      <c r="B12" s="13"/>
      <c r="C12" s="16"/>
      <c r="E12" s="10"/>
      <c r="G12" s="10"/>
      <c r="M12" s="10"/>
    </row>
    <row r="13" spans="1:13">
      <c r="C13" s="16"/>
      <c r="E13" s="10"/>
      <c r="G13" s="10"/>
      <c r="M13" s="10"/>
    </row>
    <row r="14" spans="1:13">
      <c r="C14" s="16"/>
      <c r="E14" s="10"/>
      <c r="G14" s="10"/>
      <c r="M14" s="10"/>
    </row>
    <row r="16" spans="1:13">
      <c r="A16" s="11" t="s">
        <v>0</v>
      </c>
      <c r="M16" s="10"/>
    </row>
    <row r="160" spans="4:13" ht="31.5">
      <c r="D160" s="10"/>
      <c r="E160" s="15" t="s">
        <v>83</v>
      </c>
      <c r="M160" s="10"/>
    </row>
    <row r="161" spans="4:13" ht="31.5">
      <c r="D161" s="10"/>
      <c r="E161" s="15" t="s">
        <v>84</v>
      </c>
      <c r="M161" s="10"/>
    </row>
    <row r="162" spans="4:13" ht="31.5">
      <c r="D162" s="10"/>
      <c r="E162" s="15" t="s">
        <v>85</v>
      </c>
      <c r="M162" s="10"/>
    </row>
    <row r="163" spans="4:13" ht="31.5">
      <c r="D163" s="10"/>
      <c r="E163" s="15" t="s">
        <v>86</v>
      </c>
      <c r="M163" s="10"/>
    </row>
    <row r="164" spans="4:13" ht="31.5">
      <c r="D164" s="10"/>
      <c r="E164" s="15" t="s">
        <v>87</v>
      </c>
      <c r="M164" s="10"/>
    </row>
    <row r="165" spans="4:13">
      <c r="D165" s="10"/>
      <c r="E165" s="15" t="s">
        <v>88</v>
      </c>
      <c r="M165" s="10"/>
    </row>
    <row r="166" spans="4:13" ht="31.5">
      <c r="D166" s="10"/>
      <c r="E166" s="15" t="s">
        <v>89</v>
      </c>
      <c r="M166" s="10"/>
    </row>
    <row r="167" spans="4:13" ht="31.5">
      <c r="D167" s="10"/>
      <c r="E167" s="15" t="s">
        <v>90</v>
      </c>
      <c r="M167" s="10"/>
    </row>
    <row r="168" spans="4:13" ht="31.5">
      <c r="D168" s="10"/>
      <c r="E168" s="15" t="s">
        <v>91</v>
      </c>
      <c r="M168" s="10"/>
    </row>
    <row r="169" spans="4:13" ht="31.5">
      <c r="D169" s="10"/>
      <c r="E169" s="15" t="s">
        <v>92</v>
      </c>
      <c r="M169" s="10"/>
    </row>
    <row r="170" spans="4:13" ht="31.5">
      <c r="D170" s="10"/>
      <c r="E170" s="15" t="s">
        <v>93</v>
      </c>
      <c r="M170" s="10"/>
    </row>
    <row r="171" spans="4:13" ht="31.5">
      <c r="D171" s="10"/>
      <c r="E171" s="15" t="s">
        <v>94</v>
      </c>
      <c r="M171" s="10"/>
    </row>
    <row r="172" spans="4:13" ht="31.5">
      <c r="D172" s="10"/>
      <c r="E172" s="15" t="s">
        <v>95</v>
      </c>
      <c r="M172" s="10"/>
    </row>
    <row r="173" spans="4:13" ht="31.5">
      <c r="D173" s="10"/>
      <c r="E173" s="15" t="s">
        <v>96</v>
      </c>
      <c r="M173" s="10"/>
    </row>
    <row r="174" spans="4:13" ht="31.5">
      <c r="D174" s="10"/>
      <c r="E174" s="15" t="s">
        <v>97</v>
      </c>
      <c r="M174" s="10"/>
    </row>
    <row r="175" spans="4:13" ht="31.5">
      <c r="D175" s="10"/>
      <c r="E175" s="15" t="s">
        <v>98</v>
      </c>
      <c r="M175" s="10"/>
    </row>
    <row r="176" spans="4:13" ht="31.5">
      <c r="D176" s="10"/>
      <c r="E176" s="15" t="s">
        <v>99</v>
      </c>
      <c r="M176" s="10"/>
    </row>
    <row r="177" spans="4:13" ht="31.5">
      <c r="D177" s="10"/>
      <c r="E177" s="15" t="s">
        <v>100</v>
      </c>
      <c r="M177" s="10"/>
    </row>
    <row r="178" spans="4:13" ht="31.5">
      <c r="D178" s="10"/>
      <c r="E178" s="15" t="s">
        <v>101</v>
      </c>
      <c r="M178" s="10"/>
    </row>
    <row r="179" spans="4:13" ht="31.5">
      <c r="D179" s="10"/>
      <c r="E179" s="15" t="s">
        <v>102</v>
      </c>
      <c r="M179" s="10"/>
    </row>
    <row r="180" spans="4:13" ht="31.5">
      <c r="D180" s="10"/>
      <c r="E180" s="15" t="s">
        <v>103</v>
      </c>
      <c r="M180" s="10"/>
    </row>
    <row r="181" spans="4:13" ht="31.5">
      <c r="D181" s="10"/>
      <c r="E181" s="15" t="s">
        <v>104</v>
      </c>
      <c r="M181" s="10"/>
    </row>
    <row r="182" spans="4:13" ht="31.5">
      <c r="D182" s="10"/>
      <c r="E182" s="15" t="s">
        <v>105</v>
      </c>
      <c r="M182" s="10"/>
    </row>
    <row r="183" spans="4:13" ht="31.5">
      <c r="D183" s="10"/>
      <c r="E183" s="15" t="s">
        <v>106</v>
      </c>
      <c r="M183" s="10"/>
    </row>
    <row r="184" spans="4:13" ht="31.5">
      <c r="D184" s="10"/>
      <c r="E184" s="15" t="s">
        <v>107</v>
      </c>
      <c r="M184" s="10"/>
    </row>
    <row r="185" spans="4:13" ht="31.5">
      <c r="D185" s="10"/>
      <c r="E185" s="15" t="s">
        <v>108</v>
      </c>
      <c r="M185" s="10"/>
    </row>
    <row r="186" spans="4:13" ht="31.5">
      <c r="D186" s="10"/>
      <c r="E186" s="15" t="s">
        <v>109</v>
      </c>
      <c r="M186" s="10"/>
    </row>
    <row r="187" spans="4:13" ht="31.5">
      <c r="D187" s="10"/>
      <c r="E187" s="15" t="s">
        <v>110</v>
      </c>
      <c r="M187" s="10"/>
    </row>
    <row r="188" spans="4:13" ht="31.5">
      <c r="D188" s="10"/>
      <c r="E188" s="15" t="s">
        <v>111</v>
      </c>
      <c r="M188" s="10"/>
    </row>
    <row r="189" spans="4:13" ht="31.5">
      <c r="D189" s="10"/>
      <c r="E189" s="15" t="s">
        <v>112</v>
      </c>
      <c r="M189" s="10"/>
    </row>
    <row r="190" spans="4:13" ht="31.5">
      <c r="D190" s="10"/>
      <c r="E190" s="15" t="s">
        <v>113</v>
      </c>
      <c r="M190" s="10"/>
    </row>
    <row r="191" spans="4:13" ht="31.5">
      <c r="D191" s="10"/>
      <c r="E191" s="15" t="s">
        <v>114</v>
      </c>
      <c r="M191" s="10"/>
    </row>
    <row r="192" spans="4:13" ht="31.5">
      <c r="D192" s="10"/>
      <c r="E192" s="15" t="s">
        <v>115</v>
      </c>
      <c r="M192" s="10"/>
    </row>
    <row r="193" spans="4:13" ht="31.5">
      <c r="D193" s="10"/>
      <c r="E193" s="15" t="s">
        <v>116</v>
      </c>
      <c r="M193" s="10"/>
    </row>
    <row r="194" spans="4:13" ht="31.5">
      <c r="D194" s="10"/>
      <c r="E194" s="15" t="s">
        <v>117</v>
      </c>
      <c r="M194" s="10"/>
    </row>
    <row r="195" spans="4:13">
      <c r="D195" s="10"/>
      <c r="E195" s="15" t="s">
        <v>118</v>
      </c>
      <c r="M195" s="10"/>
    </row>
    <row r="196" spans="4:13" ht="31.5">
      <c r="D196" s="10"/>
      <c r="E196" s="15" t="s">
        <v>119</v>
      </c>
      <c r="M196" s="10"/>
    </row>
    <row r="197" spans="4:13" ht="31.5">
      <c r="D197" s="10"/>
      <c r="E197" s="15" t="s">
        <v>120</v>
      </c>
      <c r="M197" s="10"/>
    </row>
    <row r="198" spans="4:13">
      <c r="D198" s="10"/>
      <c r="E198" s="15" t="s">
        <v>121</v>
      </c>
      <c r="M198" s="10"/>
    </row>
    <row r="199" spans="4:13" ht="31.5">
      <c r="D199" s="10"/>
      <c r="E199" s="15" t="s">
        <v>122</v>
      </c>
      <c r="M19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A16"/>
  <sheetViews>
    <sheetView tabSelected="1" workbookViewId="0">
      <selection activeCell="C11" sqref="C11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3.140625" style="10" customWidth="1"/>
    <col min="8" max="8" width="13.28515625" style="18" customWidth="1"/>
    <col min="9" max="9" width="13.42578125" style="20" customWidth="1"/>
    <col min="10" max="10" width="13.140625" style="10" customWidth="1"/>
    <col min="11" max="11" width="13.28515625" style="18" customWidth="1"/>
    <col min="12" max="12" width="13.42578125" style="20" customWidth="1"/>
    <col min="13" max="13" width="13.140625" style="10" customWidth="1"/>
    <col min="14" max="14" width="13.28515625" style="18" customWidth="1"/>
    <col min="15" max="15" width="13.42578125" style="20" customWidth="1"/>
    <col min="16" max="16" width="13.140625" style="10" customWidth="1"/>
    <col min="17" max="17" width="13.28515625" style="18" customWidth="1"/>
    <col min="18" max="18" width="13.42578125" style="20" customWidth="1"/>
    <col min="19" max="19" width="13.140625" style="10" customWidth="1"/>
    <col min="20" max="20" width="13.28515625" style="18" customWidth="1"/>
    <col min="21" max="21" width="13.42578125" style="20" customWidth="1"/>
    <col min="22" max="22" width="13.140625" style="10" customWidth="1"/>
    <col min="23" max="23" width="13.28515625" style="18" customWidth="1"/>
    <col min="24" max="24" width="13.42578125" style="20" customWidth="1"/>
    <col min="25" max="25" width="13.140625" style="10" customWidth="1"/>
    <col min="26" max="26" width="13.28515625" style="18" customWidth="1"/>
    <col min="27" max="27" width="13.42578125" style="20" customWidth="1"/>
    <col min="28" max="16384" width="7.5703125" style="10"/>
  </cols>
  <sheetData>
    <row r="1" spans="1:27" s="9" customFormat="1">
      <c r="A1" s="9" t="s">
        <v>123</v>
      </c>
      <c r="B1" s="9" t="s">
        <v>124</v>
      </c>
      <c r="C1" s="9" t="s">
        <v>128</v>
      </c>
      <c r="D1" s="9" t="s">
        <v>156</v>
      </c>
      <c r="E1" s="9" t="s">
        <v>146</v>
      </c>
      <c r="F1" s="19" t="s">
        <v>145</v>
      </c>
      <c r="G1" s="9" t="s">
        <v>142</v>
      </c>
      <c r="H1" s="17" t="s">
        <v>163</v>
      </c>
      <c r="I1" s="19" t="s">
        <v>179</v>
      </c>
      <c r="J1" s="9" t="s">
        <v>232</v>
      </c>
      <c r="K1" s="17" t="s">
        <v>233</v>
      </c>
      <c r="L1" s="19" t="s">
        <v>169</v>
      </c>
      <c r="M1" s="9" t="s">
        <v>236</v>
      </c>
      <c r="N1" s="17" t="s">
        <v>237</v>
      </c>
      <c r="O1" s="19" t="s">
        <v>238</v>
      </c>
      <c r="P1" s="9" t="s">
        <v>242</v>
      </c>
      <c r="Q1" s="17" t="s">
        <v>243</v>
      </c>
      <c r="R1" s="19" t="s">
        <v>244</v>
      </c>
      <c r="S1" s="9" t="s">
        <v>245</v>
      </c>
      <c r="T1" s="17" t="s">
        <v>246</v>
      </c>
      <c r="U1" s="19" t="s">
        <v>247</v>
      </c>
      <c r="V1" s="9" t="s">
        <v>248</v>
      </c>
      <c r="W1" s="17" t="s">
        <v>249</v>
      </c>
      <c r="X1" s="19" t="s">
        <v>250</v>
      </c>
      <c r="Y1" s="9" t="s">
        <v>251</v>
      </c>
      <c r="Z1" s="17" t="s">
        <v>252</v>
      </c>
      <c r="AA1" s="19" t="s">
        <v>253</v>
      </c>
    </row>
    <row r="2" spans="1:27" s="9" customFormat="1">
      <c r="A2" s="9" t="s">
        <v>77</v>
      </c>
      <c r="B2" s="9" t="s">
        <v>80</v>
      </c>
      <c r="C2" s="9" t="s">
        <v>129</v>
      </c>
      <c r="D2" s="9" t="s">
        <v>157</v>
      </c>
      <c r="E2" s="9" t="s">
        <v>147</v>
      </c>
      <c r="F2" s="19" t="s">
        <v>144</v>
      </c>
      <c r="G2" s="9" t="s">
        <v>139</v>
      </c>
      <c r="H2" s="17" t="s">
        <v>140</v>
      </c>
      <c r="I2" s="19" t="s">
        <v>141</v>
      </c>
      <c r="J2" s="9" t="s">
        <v>234</v>
      </c>
      <c r="K2" s="17" t="s">
        <v>235</v>
      </c>
      <c r="L2" s="19" t="s">
        <v>143</v>
      </c>
      <c r="M2" s="9" t="s">
        <v>239</v>
      </c>
      <c r="N2" s="17" t="s">
        <v>240</v>
      </c>
      <c r="O2" s="19" t="s">
        <v>241</v>
      </c>
      <c r="P2" s="9" t="s">
        <v>254</v>
      </c>
      <c r="Q2" s="17" t="s">
        <v>255</v>
      </c>
      <c r="R2" s="19" t="s">
        <v>256</v>
      </c>
      <c r="S2" s="9" t="s">
        <v>257</v>
      </c>
      <c r="T2" s="17" t="s">
        <v>258</v>
      </c>
      <c r="U2" s="19" t="s">
        <v>259</v>
      </c>
      <c r="V2" s="9" t="s">
        <v>260</v>
      </c>
      <c r="W2" s="17" t="s">
        <v>261</v>
      </c>
      <c r="X2" s="19" t="s">
        <v>262</v>
      </c>
      <c r="Y2" s="9" t="s">
        <v>263</v>
      </c>
      <c r="Z2" s="17" t="s">
        <v>264</v>
      </c>
      <c r="AA2" s="19" t="s">
        <v>265</v>
      </c>
    </row>
    <row r="3" spans="1:27" ht="31.5">
      <c r="A3" s="10">
        <f>D3*10+1</f>
        <v>11</v>
      </c>
      <c r="B3" s="13" t="str">
        <f>VLOOKUP(D3,Supply!A:B,2,FALSE)</f>
        <v>厚重教科書</v>
      </c>
      <c r="C3" s="16" t="s">
        <v>170</v>
      </c>
      <c r="D3" s="13">
        <v>1</v>
      </c>
      <c r="E3" s="16" t="s">
        <v>149</v>
      </c>
      <c r="F3" s="20">
        <v>1</v>
      </c>
      <c r="G3" s="10" t="s">
        <v>28</v>
      </c>
      <c r="H3" s="18" t="s">
        <v>155</v>
      </c>
      <c r="I3" s="20">
        <v>1</v>
      </c>
    </row>
    <row r="4" spans="1:27">
      <c r="B4" s="13"/>
      <c r="C4" s="16"/>
      <c r="D4" s="13"/>
      <c r="E4" s="16"/>
    </row>
    <row r="5" spans="1:27">
      <c r="A5" s="10">
        <f>D5*10+1</f>
        <v>21</v>
      </c>
      <c r="B5" s="13" t="str">
        <f>VLOOKUP(D5,Supply!A:B,2,FALSE)</f>
        <v>手槍</v>
      </c>
      <c r="C5" s="16" t="s">
        <v>182</v>
      </c>
      <c r="D5" s="13">
        <v>2</v>
      </c>
      <c r="E5" s="16" t="s">
        <v>149</v>
      </c>
      <c r="F5" s="20">
        <v>1</v>
      </c>
      <c r="G5" s="10" t="s">
        <v>28</v>
      </c>
      <c r="H5" s="18" t="s">
        <v>266</v>
      </c>
      <c r="I5" s="20">
        <v>1</v>
      </c>
      <c r="J5" s="10" t="s">
        <v>28</v>
      </c>
      <c r="K5" s="18" t="s">
        <v>266</v>
      </c>
      <c r="L5" s="20">
        <v>1</v>
      </c>
      <c r="M5" s="10" t="s">
        <v>28</v>
      </c>
      <c r="N5" s="18" t="s">
        <v>266</v>
      </c>
      <c r="O5" s="20">
        <v>1</v>
      </c>
      <c r="P5" s="10" t="s">
        <v>28</v>
      </c>
      <c r="Q5" s="18" t="s">
        <v>266</v>
      </c>
      <c r="R5" s="20">
        <v>1</v>
      </c>
      <c r="S5" s="10" t="s">
        <v>28</v>
      </c>
      <c r="T5" s="18" t="s">
        <v>266</v>
      </c>
      <c r="U5" s="20">
        <v>1</v>
      </c>
    </row>
    <row r="6" spans="1:27">
      <c r="A6" s="10">
        <f>D6*10+2</f>
        <v>22</v>
      </c>
      <c r="B6" s="13" t="str">
        <f>VLOOKUP(D6,Supply!A:B,2,FALSE)</f>
        <v>手槍</v>
      </c>
      <c r="C6" s="16" t="s">
        <v>181</v>
      </c>
      <c r="D6" s="13">
        <v>2</v>
      </c>
      <c r="E6" s="16" t="s">
        <v>151</v>
      </c>
      <c r="F6" s="20">
        <v>1</v>
      </c>
      <c r="G6" s="10" t="s">
        <v>172</v>
      </c>
      <c r="H6" s="18" t="s">
        <v>180</v>
      </c>
      <c r="I6" s="20">
        <v>1</v>
      </c>
    </row>
    <row r="7" spans="1:27">
      <c r="B7" s="13"/>
      <c r="C7" s="16"/>
      <c r="D7" s="13"/>
      <c r="E7" s="16"/>
    </row>
    <row r="8" spans="1:27">
      <c r="B8" s="13"/>
      <c r="C8" s="16"/>
      <c r="D8" s="13"/>
      <c r="E8" s="16"/>
    </row>
    <row r="9" spans="1:27">
      <c r="B9" s="13"/>
      <c r="C9" s="16"/>
      <c r="D9" s="13"/>
      <c r="E9" s="16"/>
    </row>
    <row r="10" spans="1:27">
      <c r="A10" s="10">
        <f>D10*10+1</f>
        <v>100011</v>
      </c>
      <c r="B10" s="13" t="str">
        <f>VLOOKUP(D10,Supply!A:B,2,FALSE)</f>
        <v>重踹</v>
      </c>
      <c r="C10" s="16"/>
      <c r="D10" s="13">
        <v>10001</v>
      </c>
      <c r="E10" s="16" t="s">
        <v>149</v>
      </c>
      <c r="F10" s="20">
        <v>1</v>
      </c>
      <c r="G10" s="10" t="s">
        <v>267</v>
      </c>
      <c r="H10" s="18" t="s">
        <v>268</v>
      </c>
      <c r="I10" s="20">
        <v>1</v>
      </c>
      <c r="J10" s="10" t="s">
        <v>28</v>
      </c>
      <c r="K10" s="18" t="s">
        <v>196</v>
      </c>
      <c r="L10" s="20">
        <v>1</v>
      </c>
    </row>
    <row r="11" spans="1:27">
      <c r="A11" s="10">
        <f>D11*10+1</f>
        <v>100021</v>
      </c>
      <c r="B11" s="13" t="str">
        <f>VLOOKUP(D11,Supply!A:B,2,FALSE)</f>
        <v>徒手搏擊</v>
      </c>
      <c r="C11" s="16"/>
      <c r="D11" s="13">
        <v>10002</v>
      </c>
      <c r="E11" s="16" t="s">
        <v>149</v>
      </c>
      <c r="F11" s="20">
        <v>1</v>
      </c>
      <c r="G11" s="10" t="s">
        <v>28</v>
      </c>
      <c r="H11" s="18" t="s">
        <v>180</v>
      </c>
      <c r="I11" s="20">
        <v>1</v>
      </c>
    </row>
    <row r="12" spans="1:27">
      <c r="B12" s="13"/>
      <c r="C12" s="16"/>
      <c r="D12" s="13"/>
      <c r="E12" s="16"/>
    </row>
    <row r="13" spans="1:27">
      <c r="B13" s="13"/>
      <c r="C13" s="16"/>
      <c r="D13" s="13"/>
      <c r="E13" s="16"/>
    </row>
    <row r="14" spans="1:27">
      <c r="B14" s="13"/>
      <c r="C14" s="16"/>
      <c r="D14" s="13"/>
      <c r="E14" s="16"/>
    </row>
    <row r="16" spans="1:27">
      <c r="A16" s="11" t="s">
        <v>0</v>
      </c>
    </row>
  </sheetData>
  <phoneticPr fontId="1" type="noConversion"/>
  <dataValidations count="2">
    <dataValidation type="list" allowBlank="1" showInputMessage="1" showErrorMessage="1" sqref="S1:S1048576 G1:G1048576 M1:M1048576 P1:P1048576 V1:V1048576 Y1:Y1048576 J1:J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27"/>
  <sheetViews>
    <sheetView topLeftCell="A11" workbookViewId="0">
      <selection activeCell="B13" sqref="B13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133</v>
      </c>
    </row>
    <row r="2" spans="1:8">
      <c r="A2" s="7" t="s">
        <v>78</v>
      </c>
      <c r="B2" s="8" t="s">
        <v>134</v>
      </c>
    </row>
    <row r="3" spans="1:8">
      <c r="A3" s="7"/>
      <c r="B3" s="8"/>
    </row>
    <row r="5" spans="1:8">
      <c r="A5" s="1"/>
    </row>
    <row r="9" spans="1:8" ht="16.5">
      <c r="A9" s="2" t="s">
        <v>137</v>
      </c>
      <c r="B9" s="2" t="s">
        <v>79</v>
      </c>
      <c r="C9" s="2" t="s">
        <v>148</v>
      </c>
      <c r="D9" s="2" t="s">
        <v>76</v>
      </c>
      <c r="E9" s="2" t="s">
        <v>164</v>
      </c>
      <c r="F9" s="2" t="s">
        <v>168</v>
      </c>
      <c r="G9" s="2" t="s">
        <v>187</v>
      </c>
      <c r="H9" s="2" t="s">
        <v>76</v>
      </c>
    </row>
    <row r="10" spans="1:8" ht="31.5">
      <c r="A10" t="s">
        <v>171</v>
      </c>
      <c r="B10" s="6" t="s">
        <v>209</v>
      </c>
      <c r="C10" t="s">
        <v>150</v>
      </c>
      <c r="D10" t="s">
        <v>153</v>
      </c>
      <c r="E10" t="s">
        <v>199</v>
      </c>
      <c r="F10">
        <v>2</v>
      </c>
      <c r="G10" t="s">
        <v>188</v>
      </c>
      <c r="H10" t="s">
        <v>190</v>
      </c>
    </row>
    <row r="11" spans="1:8" ht="31.5">
      <c r="A11" t="s">
        <v>173</v>
      </c>
      <c r="B11" s="6" t="s">
        <v>210</v>
      </c>
      <c r="C11" t="s">
        <v>152</v>
      </c>
      <c r="D11" t="s">
        <v>154</v>
      </c>
      <c r="E11" t="s">
        <v>197</v>
      </c>
      <c r="F11">
        <v>1</v>
      </c>
      <c r="G11" t="s">
        <v>189</v>
      </c>
      <c r="H11" t="s">
        <v>191</v>
      </c>
    </row>
    <row r="12" spans="1:8" ht="47.25">
      <c r="A12" t="s">
        <v>177</v>
      </c>
      <c r="B12" s="6" t="s">
        <v>231</v>
      </c>
      <c r="E12" t="s">
        <v>198</v>
      </c>
      <c r="F12">
        <v>1</v>
      </c>
    </row>
    <row r="13" spans="1:8" ht="94.5">
      <c r="A13" t="s">
        <v>201</v>
      </c>
      <c r="B13" s="6" t="s">
        <v>216</v>
      </c>
      <c r="E13" t="s">
        <v>200</v>
      </c>
      <c r="F13">
        <v>2</v>
      </c>
    </row>
    <row r="14" spans="1:8" ht="94.5">
      <c r="A14" t="s">
        <v>202</v>
      </c>
      <c r="B14" s="6" t="s">
        <v>217</v>
      </c>
    </row>
    <row r="15" spans="1:8" ht="47.25">
      <c r="A15" t="s">
        <v>178</v>
      </c>
      <c r="B15" s="6" t="s">
        <v>211</v>
      </c>
    </row>
    <row r="16" spans="1:8" ht="47.25">
      <c r="A16" t="s">
        <v>203</v>
      </c>
      <c r="B16" s="6" t="s">
        <v>218</v>
      </c>
    </row>
    <row r="17" spans="1:2" ht="47.25">
      <c r="A17" t="s">
        <v>204</v>
      </c>
      <c r="B17" s="6" t="s">
        <v>214</v>
      </c>
    </row>
    <row r="18" spans="1:2" ht="47.25">
      <c r="A18" t="s">
        <v>205</v>
      </c>
      <c r="B18" s="6" t="s">
        <v>215</v>
      </c>
    </row>
    <row r="19" spans="1:2" ht="47.25">
      <c r="A19" t="s">
        <v>207</v>
      </c>
      <c r="B19" s="6" t="s">
        <v>212</v>
      </c>
    </row>
    <row r="20" spans="1:2" ht="47.25">
      <c r="A20" t="s">
        <v>208</v>
      </c>
      <c r="B20" s="6" t="s">
        <v>213</v>
      </c>
    </row>
    <row r="21" spans="1:2" ht="31.5">
      <c r="A21" t="s">
        <v>219</v>
      </c>
      <c r="B21" s="6" t="s">
        <v>229</v>
      </c>
    </row>
    <row r="22" spans="1:2" ht="31.5">
      <c r="A22" t="s">
        <v>225</v>
      </c>
      <c r="B22" s="6" t="s">
        <v>221</v>
      </c>
    </row>
    <row r="23" spans="1:2" ht="31.5">
      <c r="A23" t="s">
        <v>226</v>
      </c>
      <c r="B23" s="6" t="s">
        <v>220</v>
      </c>
    </row>
    <row r="24" spans="1:2" ht="31.5">
      <c r="A24" t="s">
        <v>227</v>
      </c>
      <c r="B24" s="6" t="s">
        <v>222</v>
      </c>
    </row>
    <row r="25" spans="1:2" ht="31.5">
      <c r="A25" t="s">
        <v>230</v>
      </c>
      <c r="B25" s="6" t="s">
        <v>223</v>
      </c>
    </row>
    <row r="26" spans="1:2" ht="31.5">
      <c r="A26" t="s">
        <v>228</v>
      </c>
      <c r="B26" s="6" t="s">
        <v>224</v>
      </c>
    </row>
    <row r="27" spans="1:2">
      <c r="A27" t="s">
        <v>206</v>
      </c>
      <c r="B27" t="s">
        <v>138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2023-05-08T18:27:09Z</dcterms:modified>
</cp:coreProperties>
</file>