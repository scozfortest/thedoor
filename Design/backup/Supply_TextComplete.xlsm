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  <sheet name="AISetting" sheetId="10" r:id="rId5"/>
  </sheets>
  <functionGroups builtInGroupCount="17"/>
  <definedNames>
    <definedName name="APIKey">AISetting!$A$1</definedName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  <definedName name="Token數">AISetting!$C$1</definedName>
    <definedName name="規格設定">AISetting!$A$6</definedName>
    <definedName name="模型">AISetting!$B$1</definedName>
    <definedName name="範例輸入">AISetting!$A$20</definedName>
    <definedName name="範例輸出">AISetting!$B$20</definedName>
    <definedName name="輸出規範">AISetting!$A$6</definedName>
  </definedNames>
  <calcPr calcId="144525"/>
</workbook>
</file>

<file path=xl/calcChain.xml><?xml version="1.0" encoding="utf-8"?>
<calcChain xmlns="http://schemas.openxmlformats.org/spreadsheetml/2006/main">
  <c r="B17" i="8" l="1"/>
  <c r="A17" i="8"/>
  <c r="E23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3" i="8" l="1"/>
  <c r="A31" i="8"/>
  <c r="A29" i="8"/>
  <c r="A25" i="8"/>
  <c r="E44" i="1"/>
  <c r="B25" i="8" l="1"/>
  <c r="B23" i="8"/>
  <c r="A23" i="8"/>
  <c r="B33" i="8"/>
  <c r="B31" i="8"/>
  <c r="B29" i="8"/>
  <c r="E43" i="1"/>
  <c r="E42" i="1"/>
  <c r="E41" i="1"/>
  <c r="E36" i="1"/>
  <c r="E35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<sst xmlns="http://schemas.openxmlformats.org/spreadsheetml/2006/main" count="501" uniqueCount="378">
  <si>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</si>
  <si>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</si>
  <si>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</si>
  <si>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</si>
  <si>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</si>
  <si>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</si>
  <si>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</si>
  <si>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</si>
  <si>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</si>
  <si>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</si>
  <si>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</si>
  <si>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</si>
  <si>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</si>
  <si>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</si>
  <si>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</si>
  <si>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</si>
  <si>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</si>
  <si>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</si>
  <si>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</si>
  <si>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</si>
  <si>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</si>
  <si>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</si>
  <si>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</si>
  <si>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</si>
  <si>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</si>
  <si>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</si>
  <si>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</si>
  <si>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</si>
  <si>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</si>
  <si>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</si>
  <si>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</si>
  <si>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</si>
  <si>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</si>
  <si>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</si>
  <si>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</si>
  <si>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</si>
  <si>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</si>
  <si>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</si>
  <si>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</si>
  <si>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</si>
  <si>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</si>
  <si>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</si>
  <si>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</si>
  <si>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</si>
  <si>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</si>
  <si>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</si>
  <si>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</si>
  <si>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</si>
  <si>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</si>
  <si>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</si>
  <si>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</si>
  <si>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</si>
  <si>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</si>
  <si>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</si>
  <si>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</si>
  <si>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</si>
  <si>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</si>
  <si>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</si>
  <si>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</si>
  <si>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</si>
  <si>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</si>
  <si>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</si>
  <si>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</si>
  <si>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</si>
  <si>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</si>
  <si>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</si>
  <si>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</si>
  <si>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</si>
  <si>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</si>
  <si>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</si>
  <si>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</si>
  <si>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</si>
  <si>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</si>
  <si>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</si>
  <si>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</si>
  <si>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</si>
  <si>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</si>
  <si>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</si>
  <si>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</si>
  <si>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</si>
  <si>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</si>
  <si>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</si>
  <si>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</si>
  <si>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</si>
  <si>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</si>
  <si>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</si>
  <si>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</si>
  <si>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</si>
  <si>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</si>
  <si>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</si>
  <si>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</si>
  <si>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</si>
  <si>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</si>
  <si>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</si>
  <si>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</si>
  <si>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</si>
  <si>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</si>
  <si>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</si>
  <si>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</si>
  <si>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</si>
  <si>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</si>
  <si>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</si>
  <si>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</si>
  <si>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</si>
  <si>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</si>
  <si>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</si>
  <si>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</si>
  <si>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</si>
  <si>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</si>
  <si>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</si>
  <si>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</si>
  <si>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</si>
  <si>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</si>
  <si>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</si>
  <si>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</si>
  <si>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</si>
  <si>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</si>
  <si>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</si>
  <si>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</si>
  <si>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</si>
  <si>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</si>
  <si>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</si>
  <si>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</si>
  <si>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</si>
  <si>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</si>
  <si>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</si>
  <si>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</si>
  <si>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</si>
  <si>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</si>
  <si>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</si>
  <si>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</si>
  <si>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</si>
  <si>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</si>
  <si>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</si>
  <si>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</si>
  <si>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</si>
  <si>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</si>
  <si>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</si>
  <si>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</si>
  <si>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</si>
  <si>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</si>
  <si>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</si>
  <si>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</si>
  <si>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</si>
  <si>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</si>
  <si>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</si>
  <si>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</si>
  <si>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</si>
  <si>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</si>
  <si>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</si>
  <si>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</si>
  <si>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</si>
  <si>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</si>
  <si>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</si>
  <si>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</si>
  <si>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</si>
  <si>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</si>
  <si>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</si>
  <si>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</si>
  <si>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</si>
  <si>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</si>
  <si>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</si>
  <si>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</si>
  <si>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</si>
  <si>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</si>
  <si>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</si>
  <si>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</si>
  <si>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</si>
  <si>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</si>
  <si>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</si>
  <si>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</si>
  <si>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</si>
  <si>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</si>
  <si>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</si>
  <si>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</si>
  <si>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</si>
  <si>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</si>
  <si>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</si>
  <si>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</si>
  <si>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</si>
  <si>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</si>
  <si>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</si>
  <si>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</si>
  <si>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</si>
  <si>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</si>
  <si>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</si>
  <si>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</si>
  <si>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</si>
  <si>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</si>
  <si>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</si>
  <si>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</si>
  <si>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</si>
  <si>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</si>
  <si>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</si>
  <si>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</si>
  <si>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</si>
  <si>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</si>
  <si>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</si>
  <si>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</si>
  <si>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</si>
  <si>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</si>
  <si>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</si>
  <si>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</si>
  <si>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</si>
  <si>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</si>
  <si>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</si>
  <si>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</si>
  <si>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</si>
  <si>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</si>
  <si>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</si>
  <si>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</si>
  <si>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</si>
  <si>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</si>
  <si>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</si>
  <si>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</si>
  <si>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</si>
  <si>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</si>
  <si>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</si>
  <si>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</si>
  <si>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</si>
  <si>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</si>
  <si>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</si>
  <si>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</si>
  <si>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</si>
  <si>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</si>
  <si>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</si>
  <si>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</si>
  <si>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</si>
  <si>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</si>
  <si>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</si>
  <si>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</si>
  <si>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</si>
  <si>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</si>
  <si>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</si>
  <si>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</si>
  <si>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</si>
  <si>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</si>
  <si>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</si>
  <si>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</si>
  <si>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</si>
  <si>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</si>
  <si>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</si>
  <si>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</si>
  <si>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</si>
  <si>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</si>
  <si>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</si>
  <si>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</si>
  <si>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</si>
  <si>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</si>
  <si>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</si>
  <si>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</si>
  <si>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</si>
  <si>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</si>
  <si>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</si>
  <si>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</si>
  <si>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</si>
  <si>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</si>
  <si>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</si>
  <si>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</si>
  <si>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</si>
  <si>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</si>
  <si>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</si>
  <si>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</si>
  <si>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</si>
  <si>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</si>
  <si>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</si>
  <si>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</si>
  <si>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腳色肉搏</t>
    <phoneticPr fontId="1" type="noConversion"/>
  </si>
  <si>
    <t>GainEffectTypes</t>
    <phoneticPr fontId="1" type="noConversion"/>
  </si>
  <si>
    <t>最大生命+10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</si>
  <si>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</si>
  <si>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</si>
  <si>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</si>
  <si>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</si>
  <si>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</si>
  <si>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</si>
  <si>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</si>
  <si>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</si>
  <si>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</si>
  <si>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</si>
  <si>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</si>
  <si>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</si>
  <si>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</si>
  <si>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</si>
  <si>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</si>
  <si>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</si>
  <si>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</si>
  <si>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</si>
  <si>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</si>
  <si>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</si>
  <si>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</si>
  <si>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</si>
  <si>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</si>
  <si>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</si>
  <si>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</si>
  <si>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</si>
  <si>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</si>
  <si>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</si>
  <si>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</si>
  <si>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</si>
  <si>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</si>
  <si>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</si>
  <si>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</si>
  <si>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</si>
  <si>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</si>
  <si>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</si>
  <si>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</si>
  <si>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</si>
  <si>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</si>
  <si>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</si>
  <si>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</si>
  <si>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</si>
  <si>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</si>
  <si>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15</t>
    <phoneticPr fontId="1" type="noConversion"/>
  </si>
  <si>
    <t>3</t>
    <phoneticPr fontId="1" type="noConversion"/>
  </si>
  <si>
    <t>15</t>
    <phoneticPr fontId="1" type="noConversion"/>
  </si>
  <si>
    <t>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</si>
  <si>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</si>
  <si>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</si>
  <si>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</si>
  <si>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</si>
  <si>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</si>
  <si>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</si>
  <si>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</si>
  <si>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3</t>
    <phoneticPr fontId="1" type="noConversion"/>
  </si>
  <si>
    <t>Armor</t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</si>
  <si>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</si>
  <si>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</si>
  <si>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</si>
  <si>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</si>
  <si>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</si>
  <si>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</si>
  <si>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</si>
  <si>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</si>
  <si>
    <t>模型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</si>
  <si>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</si>
  <si>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</si>
  <si>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</si>
  <si>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</si>
  <si>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</si>
  <si>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</si>
  <si>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</si>
  <si>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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</t>
    <phoneticPr fontId="1" type="noConversion"/>
  </si>
  <si>
    <t>Token數</t>
    <phoneticPr fontId="1" type="noConversion"/>
  </si>
  <si>
    <t>根據提供的範例格式回覆 格式以外的資料不用處理</t>
    <phoneticPr fontId="1" type="noConversion"/>
  </si>
  <si>
    <t>括弧內的文字只是說明不用輸出</t>
    <phoneticPr fontId="1" type="noConversion"/>
  </si>
  <si>
    <t>只使用繁體中文 只使用半形</t>
    <phoneticPr fontId="1" type="noConversion"/>
  </si>
  <si>
    <t>text-ada-001</t>
    <phoneticPr fontId="1" type="noConversion"/>
  </si>
  <si>
    <t>gpt-3.5-turbo</t>
    <phoneticPr fontId="1" type="noConversion"/>
  </si>
  <si>
    <t>Enemy,Attack,20,0.8,Bleeding,3,1</t>
    <phoneticPr fontId="1" type="noConversion"/>
  </si>
  <si>
    <t>80%機率對目標造成20點傷害，出血x3</t>
    <phoneticPr fontId="1" type="noConversion"/>
  </si>
  <si>
    <t>text-davinci-001</t>
    <phoneticPr fontId="1" type="noConversion"/>
  </si>
  <si>
    <t xml:space="preserve"> 對目標造成15點傷害，50%機率暈眩x1</t>
  </si>
  <si>
    <t>對目標造成40點傷害，出血x3</t>
  </si>
  <si>
    <t>&amp;是分隔符號</t>
    <phoneticPr fontId="1" type="noConversion"/>
  </si>
  <si>
    <t>機率不是100%就要寫出來 100%就要省略</t>
    <phoneticPr fontId="1" type="noConversion"/>
  </si>
  <si>
    <t>輸出要完全按照格式範例 不要有多餘的文字</t>
    <phoneticPr fontId="1" type="noConversion"/>
  </si>
  <si>
    <t>&amp;是分隔符號</t>
    <phoneticPr fontId="1" type="noConversion"/>
  </si>
  <si>
    <t>機率不是100%就要寫出來 100%就要省略</t>
    <phoneticPr fontId="1" type="noConversion"/>
  </si>
  <si>
    <t>Enemy,Attack,60,0.5,Bleeding,5,1</t>
    <phoneticPr fontId="1" type="noConversion"/>
  </si>
  <si>
    <t>50%機率對目標造成60點傷害，出血x5</t>
    <phoneticPr fontId="1" type="noConversion"/>
  </si>
  <si>
    <t>Myself,Attack,20,1&amp;Myself,Attack,10,1</t>
    <phoneticPr fontId="1" type="noConversion"/>
  </si>
  <si>
    <t>對自身造成20點傷害&amp;對自身造成10點傷害</t>
    <phoneticPr fontId="1" type="noConversion"/>
  </si>
  <si>
    <t>Enemy,Attack,3,1&amp;Myself,Attack,5,0.5</t>
    <phoneticPr fontId="1" type="noConversion"/>
  </si>
  <si>
    <t>對敵人造成3點傷害&amp;50%機率對自身造成5點傷害</t>
    <phoneticPr fontId="1" type="noConversion"/>
  </si>
  <si>
    <t>Enemy,Attack,8,0.5&amp;Myself,Attack,3,0.2</t>
    <phoneticPr fontId="1" type="noConversion"/>
  </si>
  <si>
    <t>50%機率對敵人造成8點傷害&amp;20%機率對自身造成3點傷害</t>
    <phoneticPr fontId="1" type="noConversion"/>
  </si>
  <si>
    <t>Enemy,Attack,2,0.1&amp;Myself,Attack,8,0.6</t>
    <phoneticPr fontId="1" type="noConversion"/>
  </si>
  <si>
    <t>10%機率對敵人造成2點傷害&amp;60%機率對自身造成8點傷害</t>
    <phoneticPr fontId="1" type="noConversion"/>
  </si>
  <si>
    <t>Enemy,Attack,10,0.8,Bleeding,5,1&amp;Enemy,Attack,3,0.5,Bleeding,2,1</t>
    <phoneticPr fontId="1" type="noConversion"/>
  </si>
  <si>
    <t>80%機率對敵人造成10點傷害，出血x5&amp;50%機率對敵人造成3點傷害，出血x2</t>
    <phoneticPr fontId="1" type="noConversion"/>
  </si>
  <si>
    <t>造成最多105點傷害</t>
    <phoneticPr fontId="1" type="noConversion"/>
  </si>
  <si>
    <t>Enemy,Attack,15,0.6,Attack,15,0.6,Attack,15,0.6,Attack,15,0.6,Attack,15,0.6,Attack,15,0.6,Attack,15,0.6</t>
    <phoneticPr fontId="1" type="noConversion"/>
  </si>
  <si>
    <t>text-davinci-002</t>
    <phoneticPr fontId="1" type="noConversion"/>
  </si>
  <si>
    <t>text-davinci-003</t>
    <phoneticPr fontId="1" type="noConversion"/>
  </si>
  <si>
    <t>80%機率對敵人造成60點傷害</t>
  </si>
  <si>
    <t xml:space="preserve"> 100%機率對目標造成20點傷害，出血x3</t>
  </si>
  <si>
    <t>對敵人造成80點傷害，暈眩x1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</si>
</sst>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0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29"/>
  <sheetViews>
    <sheetView zoomScaleNormal="100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51" sqref="B5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18.28515625" style="10" customWidth="1"/>
    <col min="16" max="16" width="12.42578125" customWidth="1"/>
    <col min="17" max="17" width="12.28515625" style="10" customWidth="1"/>
    <col min="18" max="16384" width="7.5703125" style="10"/>
  </cols>
  <sheetData>
    <row r="1" spans="1:17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155</v>
      </c>
      <c r="G1" s="14" t="s">
        <v>280</v>
      </c>
      <c r="H1" s="9" t="s">
        <v>278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268</v>
      </c>
      <c r="P1" s="14" t="s">
        <v>256</v>
      </c>
      <c r="Q1" s="14" t="s">
        <v>257</v>
      </c>
    </row>
    <row r="2" spans="1:17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255</v>
      </c>
      <c r="F2" s="9" t="s">
        <v>156</v>
      </c>
      <c r="G2" s="14" t="s">
        <v>281</v>
      </c>
      <c r="H2" s="9" t="s">
        <v>277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266</v>
      </c>
      <c r="P2" s="14" t="s">
        <v>258</v>
      </c>
      <c r="Q2" s="14" t="s">
        <v>259</v>
      </c>
    </row>
    <row r="5" spans="1:17">
      <c r="B5" s="12" t="s">
        <v>320</v>
      </c>
      <c r="C5" s="16"/>
      <c r="E5" s="10"/>
      <c r="G5" s="10"/>
      <c r="I5" s="10"/>
      <c r="P5" s="10"/>
    </row>
    <row r="6" spans="1:17">
      <c r="A6" s="10">
        <v>1</v>
      </c>
      <c r="B6" s="13" t="s">
        <v>282</v>
      </c>
      <c r="C6" s="16" t="s">
        <v>285</v>
      </c>
      <c r="D6" s="13">
        <v>2</v>
      </c>
      <c r="E6" s="10" t="str">
        <f t="shared" ref="E6:E17" si="0">"supply"&amp;A6</f>
        <v>supply1</v>
      </c>
      <c r="F6" s="10" t="s">
        <v>283</v>
      </c>
      <c r="G6" s="10"/>
      <c r="I6" s="10"/>
      <c r="J6" s="10">
        <v>10</v>
      </c>
      <c r="P6" s="10"/>
    </row>
    <row r="7" spans="1:17">
      <c r="A7" s="10">
        <v>2</v>
      </c>
      <c r="B7" s="13" t="s">
        <v>284</v>
      </c>
      <c r="C7" s="16" t="s">
        <v>285</v>
      </c>
      <c r="D7" s="13">
        <v>1</v>
      </c>
      <c r="E7" s="10" t="str">
        <f t="shared" si="0"/>
        <v>supply2</v>
      </c>
      <c r="F7" s="10" t="s">
        <v>283</v>
      </c>
      <c r="G7" s="10"/>
      <c r="I7" s="10"/>
      <c r="J7" s="10">
        <v>5</v>
      </c>
      <c r="P7" s="10"/>
    </row>
    <row r="8" spans="1:17">
      <c r="A8" s="10">
        <v>4</v>
      </c>
      <c r="B8" s="13" t="s">
        <v>303</v>
      </c>
      <c r="C8" s="16" t="s">
        <v>285</v>
      </c>
      <c r="D8" s="13">
        <v>1</v>
      </c>
      <c r="E8" s="10" t="str">
        <f t="shared" si="0"/>
        <v>supply4</v>
      </c>
      <c r="F8" s="10" t="s">
        <v>283</v>
      </c>
      <c r="G8" s="10"/>
      <c r="I8" s="10"/>
      <c r="K8" s="10">
        <v>5</v>
      </c>
      <c r="P8" s="10"/>
    </row>
    <row r="9" spans="1:17">
      <c r="A9" s="10">
        <v>5</v>
      </c>
      <c r="B9" s="13" t="s">
        <v>286</v>
      </c>
      <c r="C9" s="16" t="s">
        <v>285</v>
      </c>
      <c r="D9" s="13">
        <v>2</v>
      </c>
      <c r="E9" s="10" t="str">
        <f t="shared" si="0"/>
        <v>supply5</v>
      </c>
      <c r="F9" s="10" t="s">
        <v>283</v>
      </c>
      <c r="G9" s="10"/>
      <c r="I9" s="10"/>
      <c r="K9" s="10">
        <v>10</v>
      </c>
      <c r="P9" s="10"/>
    </row>
    <row r="10" spans="1:17">
      <c r="A10" s="10">
        <v>6</v>
      </c>
      <c r="B10" s="13" t="s">
        <v>293</v>
      </c>
      <c r="C10" s="16" t="s">
        <v>294</v>
      </c>
      <c r="D10" s="13">
        <v>1</v>
      </c>
      <c r="E10" s="10" t="str">
        <f t="shared" si="0"/>
        <v>supply6</v>
      </c>
      <c r="F10" s="10" t="s">
        <v>272</v>
      </c>
      <c r="G10" s="10"/>
      <c r="I10" s="10"/>
      <c r="L10" s="10" t="s">
        <v>172</v>
      </c>
      <c r="M10" s="10">
        <v>2</v>
      </c>
      <c r="N10" s="10">
        <v>1</v>
      </c>
      <c r="P10" s="10"/>
    </row>
    <row r="11" spans="1:17">
      <c r="A11" s="10">
        <v>7</v>
      </c>
      <c r="B11" s="13" t="s">
        <v>295</v>
      </c>
      <c r="C11" s="16" t="s">
        <v>296</v>
      </c>
      <c r="D11" s="13">
        <v>1</v>
      </c>
      <c r="E11" s="10" t="str">
        <f t="shared" si="0"/>
        <v>supply7</v>
      </c>
      <c r="F11" s="10" t="s">
        <v>298</v>
      </c>
      <c r="G11" s="10"/>
      <c r="I11" s="10"/>
      <c r="L11" s="10" t="s">
        <v>172</v>
      </c>
      <c r="M11" s="10">
        <v>3</v>
      </c>
      <c r="N11" s="10">
        <v>1</v>
      </c>
      <c r="P11" s="10"/>
    </row>
    <row r="12" spans="1:17">
      <c r="A12" s="10">
        <v>8</v>
      </c>
      <c r="B12" s="13" t="s">
        <v>308</v>
      </c>
      <c r="C12" s="16" t="s">
        <v>299</v>
      </c>
      <c r="D12" s="13">
        <v>2</v>
      </c>
      <c r="E12" s="10" t="str">
        <f t="shared" si="0"/>
        <v>supply8</v>
      </c>
      <c r="F12" s="10" t="s">
        <v>272</v>
      </c>
      <c r="G12" s="10"/>
      <c r="I12" s="10"/>
      <c r="L12" s="10" t="s">
        <v>172</v>
      </c>
      <c r="M12" s="10">
        <v>3</v>
      </c>
      <c r="N12" s="10">
        <v>1</v>
      </c>
      <c r="P12" s="10"/>
    </row>
    <row r="13" spans="1:17">
      <c r="A13" s="10">
        <v>9</v>
      </c>
      <c r="B13" s="13" t="s">
        <v>300</v>
      </c>
      <c r="C13" s="16" t="s">
        <v>301</v>
      </c>
      <c r="D13" s="13">
        <v>2</v>
      </c>
      <c r="E13" s="10" t="str">
        <f t="shared" si="0"/>
        <v>supply9</v>
      </c>
      <c r="G13" s="10"/>
      <c r="I13" s="10"/>
      <c r="L13" s="10" t="s">
        <v>172</v>
      </c>
      <c r="M13" s="10">
        <v>4</v>
      </c>
      <c r="N13" s="10">
        <v>2</v>
      </c>
      <c r="P13" s="10"/>
    </row>
    <row r="14" spans="1:17">
      <c r="A14" s="10">
        <v>10</v>
      </c>
      <c r="B14" s="13" t="s">
        <v>302</v>
      </c>
      <c r="C14" s="16" t="s">
        <v>285</v>
      </c>
      <c r="D14" s="13">
        <v>3</v>
      </c>
      <c r="E14" s="10" t="str">
        <f t="shared" si="0"/>
        <v>supply10</v>
      </c>
      <c r="G14" s="10"/>
      <c r="I14" s="10"/>
      <c r="J14" s="10">
        <v>15</v>
      </c>
      <c r="P14" s="10"/>
    </row>
    <row r="15" spans="1:17">
      <c r="A15" s="10">
        <v>11</v>
      </c>
      <c r="B15" s="13" t="s">
        <v>292</v>
      </c>
      <c r="C15" s="16" t="s">
        <v>285</v>
      </c>
      <c r="D15" s="13">
        <v>3</v>
      </c>
      <c r="E15" s="10" t="str">
        <f t="shared" si="0"/>
        <v>supply11</v>
      </c>
      <c r="G15" s="10"/>
      <c r="I15" s="10"/>
      <c r="K15" s="10">
        <v>15</v>
      </c>
      <c r="P15" s="10"/>
    </row>
    <row r="16" spans="1:17">
      <c r="A16" s="10">
        <v>12</v>
      </c>
      <c r="B16" s="13" t="s">
        <v>304</v>
      </c>
      <c r="C16" s="16" t="s">
        <v>306</v>
      </c>
      <c r="D16" s="13">
        <v>2</v>
      </c>
      <c r="E16" s="10" t="str">
        <f t="shared" si="0"/>
        <v>supply12</v>
      </c>
      <c r="F16" s="10" t="s">
        <v>312</v>
      </c>
      <c r="G16" s="10"/>
      <c r="I16" s="10"/>
      <c r="L16" s="10" t="s">
        <v>172</v>
      </c>
      <c r="M16" s="10">
        <v>3</v>
      </c>
      <c r="N16" s="10">
        <v>2</v>
      </c>
      <c r="P16" s="10"/>
    </row>
    <row r="17" spans="1:16">
      <c r="A17" s="10">
        <v>13</v>
      </c>
      <c r="B17" s="13" t="s">
        <v>305</v>
      </c>
      <c r="C17" s="16" t="s">
        <v>307</v>
      </c>
      <c r="D17" s="13">
        <v>2</v>
      </c>
      <c r="E17" s="10" t="str">
        <f t="shared" si="0"/>
        <v>supply13</v>
      </c>
      <c r="F17" s="10" t="s">
        <v>298</v>
      </c>
      <c r="G17" s="10"/>
      <c r="I17" s="10"/>
      <c r="L17" s="10" t="s">
        <v>172</v>
      </c>
      <c r="M17" s="10">
        <v>5</v>
      </c>
      <c r="N17" s="10">
        <v>2</v>
      </c>
      <c r="P17" s="10"/>
    </row>
    <row r="18" spans="1:16">
      <c r="B18" s="13"/>
      <c r="C18" s="16"/>
      <c r="E18" s="10"/>
      <c r="G18" s="10"/>
      <c r="I18" s="10"/>
      <c r="P18" s="10"/>
    </row>
    <row r="22" spans="1:16">
      <c r="B22" s="12" t="s">
        <v>318</v>
      </c>
      <c r="C22" s="16"/>
      <c r="E22" s="10"/>
      <c r="G22" s="10"/>
      <c r="I22" s="10"/>
      <c r="P22" s="10"/>
    </row>
    <row r="23" spans="1:16">
      <c r="A23" s="10">
        <v>5001</v>
      </c>
      <c r="B23" s="10" t="s">
        <v>321</v>
      </c>
      <c r="C23" s="10" t="s">
        <v>322</v>
      </c>
      <c r="D23" s="13">
        <v>2</v>
      </c>
      <c r="E23" s="10" t="str">
        <f t="shared" ref="E23" si="1">"supply"&amp;A23</f>
        <v>supply5001</v>
      </c>
      <c r="F23" s="10" t="s">
        <v>272</v>
      </c>
      <c r="G23" s="10" t="b">
        <v>1</v>
      </c>
      <c r="L23" s="10" t="s">
        <v>172</v>
      </c>
      <c r="M23" s="10">
        <v>4</v>
      </c>
      <c r="N23" s="10">
        <v>1</v>
      </c>
    </row>
    <row r="33" spans="1:16">
      <c r="B33" s="13"/>
      <c r="C33" s="16"/>
      <c r="E33" s="10"/>
      <c r="G33" s="10"/>
      <c r="I33" s="10"/>
      <c r="P33" s="10"/>
    </row>
    <row r="34" spans="1:16">
      <c r="B34" s="12" t="s">
        <v>267</v>
      </c>
      <c r="C34" s="16"/>
      <c r="E34" s="10"/>
      <c r="G34" s="10"/>
      <c r="I34" s="10"/>
      <c r="P34" s="10"/>
    </row>
    <row r="35" spans="1:16">
      <c r="A35" s="10">
        <v>10001</v>
      </c>
      <c r="B35" s="13" t="s">
        <v>165</v>
      </c>
      <c r="C35" s="16" t="s">
        <v>276</v>
      </c>
      <c r="D35" s="13">
        <v>1</v>
      </c>
      <c r="E35" s="10" t="str">
        <f>"supply"&amp;A35</f>
        <v>supply10001</v>
      </c>
      <c r="F35" s="10" t="s">
        <v>279</v>
      </c>
      <c r="G35" s="10" t="b">
        <v>1</v>
      </c>
      <c r="H35" s="10" t="s">
        <v>143</v>
      </c>
      <c r="I35" s="10"/>
      <c r="L35" s="10" t="s">
        <v>172</v>
      </c>
      <c r="N35" s="10">
        <v>2</v>
      </c>
      <c r="P35" s="10"/>
    </row>
    <row r="36" spans="1:16">
      <c r="A36" s="10">
        <v>10002</v>
      </c>
      <c r="B36" s="13" t="s">
        <v>173</v>
      </c>
      <c r="C36" s="16" t="s">
        <v>276</v>
      </c>
      <c r="D36" s="13">
        <v>1</v>
      </c>
      <c r="E36" s="10" t="str">
        <f>"supply"&amp;A36</f>
        <v>supply10002</v>
      </c>
      <c r="F36" s="10" t="s">
        <v>273</v>
      </c>
      <c r="G36" s="10" t="b">
        <v>1</v>
      </c>
      <c r="H36" s="10" t="s">
        <v>143</v>
      </c>
      <c r="I36" s="10"/>
      <c r="L36" s="10" t="s">
        <v>172</v>
      </c>
      <c r="N36" s="10">
        <v>1</v>
      </c>
      <c r="P36" s="10"/>
    </row>
    <row r="37" spans="1:16">
      <c r="B37" s="13"/>
      <c r="C37" s="16"/>
      <c r="E37" s="10"/>
      <c r="G37" s="10"/>
      <c r="I37" s="10"/>
      <c r="P37" s="10"/>
    </row>
    <row r="39" spans="1:16">
      <c r="B39" s="13"/>
      <c r="C39" s="16"/>
      <c r="E39" s="10"/>
      <c r="G39" s="10"/>
      <c r="I39" s="10"/>
      <c r="P39" s="10"/>
    </row>
    <row r="40" spans="1:16">
      <c r="B40" s="12" t="s">
        <v>319</v>
      </c>
      <c r="C40" s="16"/>
      <c r="E40" s="10"/>
      <c r="G40" s="10"/>
      <c r="I40" s="10"/>
      <c r="P40" s="10"/>
    </row>
    <row r="41" spans="1:16">
      <c r="A41" s="10">
        <v>11001</v>
      </c>
      <c r="B41" s="13" t="s">
        <v>263</v>
      </c>
      <c r="C41" s="16" t="s">
        <v>269</v>
      </c>
      <c r="D41" s="13">
        <v>1</v>
      </c>
      <c r="E41" s="10" t="str">
        <f>"supply"&amp;A41</f>
        <v>supply11001</v>
      </c>
      <c r="F41" s="10" t="s">
        <v>297</v>
      </c>
      <c r="G41" s="10" t="b">
        <v>1</v>
      </c>
      <c r="H41" s="10" t="s">
        <v>143</v>
      </c>
      <c r="I41" s="10"/>
      <c r="J41" s="10">
        <v>10</v>
      </c>
      <c r="L41" s="10" t="s">
        <v>168</v>
      </c>
      <c r="M41" s="10">
        <v>4</v>
      </c>
      <c r="N41" s="10">
        <v>1</v>
      </c>
      <c r="P41" s="10"/>
    </row>
    <row r="42" spans="1:16">
      <c r="A42" s="10">
        <v>11002</v>
      </c>
      <c r="B42" s="13" t="s">
        <v>261</v>
      </c>
      <c r="C42" s="16" t="s">
        <v>274</v>
      </c>
      <c r="D42" s="13">
        <v>3</v>
      </c>
      <c r="E42" s="10" t="str">
        <f>"supply"&amp;A42</f>
        <v>supply11002</v>
      </c>
      <c r="F42" s="10" t="s">
        <v>311</v>
      </c>
      <c r="G42" s="10" t="b">
        <v>1</v>
      </c>
      <c r="H42" s="10" t="s">
        <v>143</v>
      </c>
      <c r="I42" s="10"/>
      <c r="L42" s="10" t="s">
        <v>168</v>
      </c>
      <c r="M42" s="10">
        <v>3</v>
      </c>
      <c r="N42" s="10">
        <v>2</v>
      </c>
      <c r="P42" s="10"/>
    </row>
    <row r="43" spans="1:16">
      <c r="A43" s="10">
        <v>11003</v>
      </c>
      <c r="B43" s="13" t="s">
        <v>262</v>
      </c>
      <c r="C43" s="16" t="s">
        <v>275</v>
      </c>
      <c r="D43" s="13">
        <v>2</v>
      </c>
      <c r="E43" s="10" t="str">
        <f>"supply"&amp;A43</f>
        <v>supply11003</v>
      </c>
      <c r="F43" s="10" t="s">
        <v>272</v>
      </c>
      <c r="G43" s="10" t="b">
        <v>1</v>
      </c>
      <c r="H43" s="10" t="s">
        <v>143</v>
      </c>
      <c r="I43" s="10"/>
      <c r="L43" s="10" t="s">
        <v>168</v>
      </c>
      <c r="M43" s="10">
        <v>5</v>
      </c>
      <c r="N43" s="10">
        <v>1</v>
      </c>
      <c r="P43" s="10"/>
    </row>
    <row r="44" spans="1:16">
      <c r="A44" s="10">
        <v>11004</v>
      </c>
      <c r="B44" s="13" t="s">
        <v>264</v>
      </c>
      <c r="C44" s="16" t="s">
        <v>289</v>
      </c>
      <c r="D44" s="13">
        <v>3</v>
      </c>
      <c r="E44" s="10" t="str">
        <f>"supply"&amp;A44</f>
        <v>supply11004</v>
      </c>
      <c r="F44" s="10" t="s">
        <v>265</v>
      </c>
      <c r="G44" s="10" t="b">
        <v>1</v>
      </c>
      <c r="I44" s="10"/>
      <c r="O44" s="10" t="s">
        <v>288</v>
      </c>
      <c r="P44" s="10"/>
    </row>
    <row r="46" spans="1:16">
      <c r="A46" s="11" t="s">
        <v>0</v>
      </c>
      <c r="P46" s="10"/>
    </row>
    <row r="190" spans="4:16" ht="31.5">
      <c r="D190" s="10"/>
      <c r="E190" s="15" t="s">
        <v>82</v>
      </c>
      <c r="P190" s="10"/>
    </row>
    <row r="191" spans="4:16" ht="31.5">
      <c r="D191" s="10"/>
      <c r="E191" s="15" t="s">
        <v>83</v>
      </c>
      <c r="P191" s="10"/>
    </row>
    <row r="192" spans="4:16" ht="31.5">
      <c r="D192" s="10"/>
      <c r="E192" s="15" t="s">
        <v>84</v>
      </c>
      <c r="P192" s="10"/>
    </row>
    <row r="193" spans="4:16" ht="31.5">
      <c r="D193" s="10"/>
      <c r="E193" s="15" t="s">
        <v>85</v>
      </c>
      <c r="P193" s="10"/>
    </row>
    <row r="194" spans="4:16" ht="31.5">
      <c r="D194" s="10"/>
      <c r="E194" s="15" t="s">
        <v>86</v>
      </c>
      <c r="P194" s="10"/>
    </row>
    <row r="195" spans="4:16">
      <c r="D195" s="10"/>
      <c r="E195" s="15" t="s">
        <v>87</v>
      </c>
      <c r="P195" s="10"/>
    </row>
    <row r="196" spans="4:16" ht="31.5">
      <c r="D196" s="10"/>
      <c r="E196" s="15" t="s">
        <v>88</v>
      </c>
      <c r="P196" s="10"/>
    </row>
    <row r="197" spans="4:16" ht="31.5">
      <c r="D197" s="10"/>
      <c r="E197" s="15" t="s">
        <v>89</v>
      </c>
      <c r="P197" s="10"/>
    </row>
    <row r="198" spans="4:16" ht="31.5">
      <c r="D198" s="10"/>
      <c r="E198" s="15" t="s">
        <v>90</v>
      </c>
      <c r="P198" s="10"/>
    </row>
    <row r="199" spans="4:16" ht="31.5">
      <c r="D199" s="10"/>
      <c r="E199" s="15" t="s">
        <v>91</v>
      </c>
      <c r="P199" s="10"/>
    </row>
    <row r="200" spans="4:16" ht="31.5">
      <c r="D200" s="10"/>
      <c r="E200" s="15" t="s">
        <v>92</v>
      </c>
      <c r="P200" s="10"/>
    </row>
    <row r="201" spans="4:16" ht="31.5">
      <c r="D201" s="10"/>
      <c r="E201" s="15" t="s">
        <v>93</v>
      </c>
      <c r="P201" s="10"/>
    </row>
    <row r="202" spans="4:16" ht="31.5">
      <c r="D202" s="10"/>
      <c r="E202" s="15" t="s">
        <v>94</v>
      </c>
      <c r="P202" s="10"/>
    </row>
    <row r="203" spans="4:16" ht="31.5">
      <c r="D203" s="10"/>
      <c r="E203" s="15" t="s">
        <v>95</v>
      </c>
      <c r="P203" s="10"/>
    </row>
    <row r="204" spans="4:16" ht="31.5">
      <c r="D204" s="10"/>
      <c r="E204" s="15" t="s">
        <v>96</v>
      </c>
      <c r="P204" s="10"/>
    </row>
    <row r="205" spans="4:16" ht="31.5">
      <c r="D205" s="10"/>
      <c r="E205" s="15" t="s">
        <v>97</v>
      </c>
      <c r="P205" s="10"/>
    </row>
    <row r="206" spans="4:16" ht="31.5">
      <c r="D206" s="10"/>
      <c r="E206" s="15" t="s">
        <v>98</v>
      </c>
      <c r="P206" s="10"/>
    </row>
    <row r="207" spans="4:16" ht="31.5">
      <c r="D207" s="10"/>
      <c r="E207" s="15" t="s">
        <v>99</v>
      </c>
      <c r="P207" s="10"/>
    </row>
    <row r="208" spans="4:16" ht="31.5">
      <c r="D208" s="10"/>
      <c r="E208" s="15" t="s">
        <v>100</v>
      </c>
      <c r="P208" s="10"/>
    </row>
    <row r="209" spans="4:16" ht="31.5">
      <c r="D209" s="10"/>
      <c r="E209" s="15" t="s">
        <v>101</v>
      </c>
      <c r="P209" s="10"/>
    </row>
    <row r="210" spans="4:16" ht="31.5">
      <c r="D210" s="10"/>
      <c r="E210" s="15" t="s">
        <v>102</v>
      </c>
      <c r="P210" s="10"/>
    </row>
    <row r="211" spans="4:16" ht="31.5">
      <c r="D211" s="10"/>
      <c r="E211" s="15" t="s">
        <v>103</v>
      </c>
      <c r="P211" s="10"/>
    </row>
    <row r="212" spans="4:16" ht="31.5">
      <c r="D212" s="10"/>
      <c r="E212" s="15" t="s">
        <v>104</v>
      </c>
      <c r="P212" s="10"/>
    </row>
    <row r="213" spans="4:16" ht="31.5">
      <c r="D213" s="10"/>
      <c r="E213" s="15" t="s">
        <v>105</v>
      </c>
      <c r="P213" s="10"/>
    </row>
    <row r="214" spans="4:16" ht="31.5">
      <c r="D214" s="10"/>
      <c r="E214" s="15" t="s">
        <v>106</v>
      </c>
      <c r="P214" s="10"/>
    </row>
    <row r="215" spans="4:16" ht="31.5">
      <c r="D215" s="10"/>
      <c r="E215" s="15" t="s">
        <v>107</v>
      </c>
      <c r="P215" s="10"/>
    </row>
    <row r="216" spans="4:16" ht="31.5">
      <c r="D216" s="10"/>
      <c r="E216" s="15" t="s">
        <v>108</v>
      </c>
      <c r="P216" s="10"/>
    </row>
    <row r="217" spans="4:16" ht="31.5">
      <c r="D217" s="10"/>
      <c r="E217" s="15" t="s">
        <v>109</v>
      </c>
      <c r="P217" s="10"/>
    </row>
    <row r="218" spans="4:16" ht="31.5">
      <c r="D218" s="10"/>
      <c r="E218" s="15" t="s">
        <v>110</v>
      </c>
      <c r="P218" s="10"/>
    </row>
    <row r="219" spans="4:16" ht="31.5">
      <c r="D219" s="10"/>
      <c r="E219" s="15" t="s">
        <v>111</v>
      </c>
      <c r="P219" s="10"/>
    </row>
    <row r="220" spans="4:16" ht="31.5">
      <c r="D220" s="10"/>
      <c r="E220" s="15" t="s">
        <v>112</v>
      </c>
      <c r="P220" s="10"/>
    </row>
    <row r="221" spans="4:16" ht="31.5">
      <c r="D221" s="10"/>
      <c r="E221" s="15" t="s">
        <v>113</v>
      </c>
      <c r="P221" s="10"/>
    </row>
    <row r="222" spans="4:16" ht="31.5">
      <c r="D222" s="10"/>
      <c r="E222" s="15" t="s">
        <v>114</v>
      </c>
      <c r="P222" s="10"/>
    </row>
    <row r="223" spans="4:16" ht="31.5">
      <c r="D223" s="10"/>
      <c r="E223" s="15" t="s">
        <v>115</v>
      </c>
      <c r="P223" s="10"/>
    </row>
    <row r="224" spans="4:16" ht="31.5">
      <c r="D224" s="10"/>
      <c r="E224" s="15" t="s">
        <v>116</v>
      </c>
      <c r="P224" s="10"/>
    </row>
    <row r="225" spans="4:16">
      <c r="D225" s="10"/>
      <c r="E225" s="15" t="s">
        <v>117</v>
      </c>
      <c r="P225" s="10"/>
    </row>
    <row r="226" spans="4:16" ht="31.5">
      <c r="D226" s="10"/>
      <c r="E226" s="15" t="s">
        <v>118</v>
      </c>
      <c r="P226" s="10"/>
    </row>
    <row r="227" spans="4:16" ht="31.5">
      <c r="D227" s="10"/>
      <c r="E227" s="15" t="s">
        <v>119</v>
      </c>
      <c r="P227" s="10"/>
    </row>
    <row r="228" spans="4:16">
      <c r="D228" s="10"/>
      <c r="E228" s="15" t="s">
        <v>120</v>
      </c>
      <c r="P228" s="10"/>
    </row>
    <row r="229" spans="4:16" ht="31.5">
      <c r="D229" s="10"/>
      <c r="E229" s="15" t="s">
        <v>121</v>
      </c>
      <c r="P22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39:I1048576 I33:I37 I5:I18 I22 G1:G1048576">
      <formula1>"True,False"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6" sqref="C16"/>
    </sheetView>
  </sheetViews>
  <sheetFormatPr defaultColWidth="7.5703125" defaultRowHeight="15.75"/>
  <cols>
    <col min="1" max="1" width="6.5703125" style="10" customWidth="1"/>
    <col min="2" max="2" width="16" style="10" customWidth="1"/>
    <col min="3" max="3" width="52.28515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187</v>
      </c>
      <c r="J1" s="17" t="s">
        <v>188</v>
      </c>
      <c r="K1" s="19" t="s">
        <v>158</v>
      </c>
      <c r="L1" s="9" t="s">
        <v>191</v>
      </c>
      <c r="M1" s="17" t="s">
        <v>192</v>
      </c>
      <c r="N1" s="19" t="s">
        <v>193</v>
      </c>
      <c r="O1" s="9" t="s">
        <v>197</v>
      </c>
      <c r="P1" s="17" t="s">
        <v>198</v>
      </c>
      <c r="Q1" s="19" t="s">
        <v>199</v>
      </c>
      <c r="R1" s="9" t="s">
        <v>200</v>
      </c>
      <c r="S1" s="17" t="s">
        <v>201</v>
      </c>
      <c r="T1" s="19" t="s">
        <v>202</v>
      </c>
      <c r="U1" s="9" t="s">
        <v>203</v>
      </c>
      <c r="V1" s="17" t="s">
        <v>204</v>
      </c>
      <c r="W1" s="19" t="s">
        <v>205</v>
      </c>
      <c r="X1" s="9" t="s">
        <v>206</v>
      </c>
      <c r="Y1" s="17" t="s">
        <v>207</v>
      </c>
      <c r="Z1" s="19" t="s">
        <v>208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189</v>
      </c>
      <c r="J2" s="17" t="s">
        <v>190</v>
      </c>
      <c r="K2" s="19" t="s">
        <v>139</v>
      </c>
      <c r="L2" s="9" t="s">
        <v>194</v>
      </c>
      <c r="M2" s="17" t="s">
        <v>195</v>
      </c>
      <c r="N2" s="19" t="s">
        <v>196</v>
      </c>
      <c r="O2" s="9" t="s">
        <v>209</v>
      </c>
      <c r="P2" s="17" t="s">
        <v>210</v>
      </c>
      <c r="Q2" s="19" t="s">
        <v>211</v>
      </c>
      <c r="R2" s="9" t="s">
        <v>212</v>
      </c>
      <c r="S2" s="17" t="s">
        <v>213</v>
      </c>
      <c r="T2" s="19" t="s">
        <v>214</v>
      </c>
      <c r="U2" s="9" t="s">
        <v>215</v>
      </c>
      <c r="V2" s="17" t="s">
        <v>216</v>
      </c>
      <c r="W2" s="19" t="s">
        <v>217</v>
      </c>
      <c r="X2" s="9" t="s">
        <v>218</v>
      </c>
      <c r="Y2" s="17" t="s">
        <v>219</v>
      </c>
      <c r="Z2" s="19" t="s">
        <v>220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2" t="s">
        <v>317</v>
      </c>
      <c r="C6" s="16"/>
      <c r="D6" s="13"/>
      <c r="E6" s="16"/>
    </row>
    <row r="7" spans="1:26">
      <c r="A7" s="10">
        <f>D7*10+1</f>
        <v>61</v>
      </c>
      <c r="B7" s="13" t="str">
        <f>VLOOKUP(D7,Supply!A:B,2,FALSE)</f>
        <v>小刀</v>
      </c>
      <c r="C7" s="16" t="s">
        <v>376</v>
      </c>
      <c r="D7" s="10">
        <v>6</v>
      </c>
      <c r="E7" s="16" t="s">
        <v>143</v>
      </c>
      <c r="F7" s="10" t="s">
        <v>226</v>
      </c>
      <c r="G7" s="18" t="s">
        <v>250</v>
      </c>
      <c r="H7" s="20">
        <v>1</v>
      </c>
      <c r="I7" s="10" t="s">
        <v>309</v>
      </c>
      <c r="J7" s="18" t="s">
        <v>324</v>
      </c>
      <c r="K7" s="20">
        <v>1</v>
      </c>
    </row>
    <row r="8" spans="1:26">
      <c r="A8" s="10">
        <f t="shared" ref="A8:A12" si="0">D8*10+1</f>
        <v>71</v>
      </c>
      <c r="B8" s="13" t="str">
        <f>VLOOKUP(D8,Supply!A:B,2,FALSE)</f>
        <v>木棍</v>
      </c>
      <c r="C8" s="16" t="s">
        <v>352</v>
      </c>
      <c r="D8" s="10">
        <v>7</v>
      </c>
      <c r="E8" s="16" t="s">
        <v>143</v>
      </c>
      <c r="F8" s="10" t="s">
        <v>226</v>
      </c>
      <c r="G8" s="18" t="s">
        <v>313</v>
      </c>
      <c r="H8" s="20">
        <v>1</v>
      </c>
      <c r="I8" s="10" t="s">
        <v>221</v>
      </c>
      <c r="J8" s="18" t="s">
        <v>260</v>
      </c>
      <c r="K8" s="20">
        <v>0.5</v>
      </c>
    </row>
    <row r="9" spans="1:26">
      <c r="A9" s="10">
        <f t="shared" si="0"/>
        <v>81</v>
      </c>
      <c r="B9" s="13" t="str">
        <f>VLOOKUP(D9,Supply!A:B,2,FALSE)</f>
        <v>短柄斧</v>
      </c>
      <c r="C9" s="16" t="s">
        <v>353</v>
      </c>
      <c r="D9" s="10">
        <v>8</v>
      </c>
      <c r="E9" s="16" t="s">
        <v>143</v>
      </c>
      <c r="F9" s="10" t="s">
        <v>226</v>
      </c>
      <c r="G9" s="18" t="s">
        <v>271</v>
      </c>
      <c r="H9" s="20">
        <v>1</v>
      </c>
      <c r="I9" s="10" t="s">
        <v>309</v>
      </c>
      <c r="J9" s="18" t="s">
        <v>314</v>
      </c>
      <c r="K9" s="20">
        <v>1</v>
      </c>
    </row>
    <row r="10" spans="1:26">
      <c r="A10" s="10">
        <f t="shared" si="0"/>
        <v>91</v>
      </c>
      <c r="B10" s="13" t="str">
        <f>VLOOKUP(D10,Supply!A:B,2,FALSE)</f>
        <v>釘槍</v>
      </c>
      <c r="C10" s="16">
        <v>1</v>
      </c>
      <c r="D10" s="10">
        <v>9</v>
      </c>
      <c r="E10" s="16" t="s">
        <v>143</v>
      </c>
      <c r="F10" s="10" t="s">
        <v>226</v>
      </c>
      <c r="G10" s="18" t="s">
        <v>315</v>
      </c>
      <c r="H10" s="20">
        <v>0.6</v>
      </c>
      <c r="I10" s="10" t="s">
        <v>226</v>
      </c>
      <c r="J10" s="18" t="s">
        <v>315</v>
      </c>
      <c r="K10" s="20">
        <v>0.6</v>
      </c>
      <c r="L10" s="10" t="s">
        <v>226</v>
      </c>
      <c r="M10" s="18" t="s">
        <v>315</v>
      </c>
      <c r="N10" s="20">
        <v>0.6</v>
      </c>
      <c r="O10" s="10" t="s">
        <v>226</v>
      </c>
      <c r="P10" s="18" t="s">
        <v>315</v>
      </c>
      <c r="Q10" s="20">
        <v>0.6</v>
      </c>
      <c r="R10" s="10" t="s">
        <v>226</v>
      </c>
      <c r="S10" s="18" t="s">
        <v>315</v>
      </c>
      <c r="T10" s="20">
        <v>0.6</v>
      </c>
      <c r="U10" s="10" t="s">
        <v>226</v>
      </c>
      <c r="V10" s="18" t="s">
        <v>315</v>
      </c>
      <c r="W10" s="20">
        <v>0.6</v>
      </c>
      <c r="X10" s="10" t="s">
        <v>226</v>
      </c>
      <c r="Y10" s="18" t="s">
        <v>315</v>
      </c>
      <c r="Z10" s="20">
        <v>0.6</v>
      </c>
    </row>
    <row r="11" spans="1:26">
      <c r="A11" s="10">
        <f t="shared" si="0"/>
        <v>121</v>
      </c>
      <c r="B11" s="13" t="str">
        <f>VLOOKUP(D11,Supply!A:B,2,FALSE)</f>
        <v>手槍</v>
      </c>
      <c r="C11" s="16" t="s">
        <v>375</v>
      </c>
      <c r="D11" s="10">
        <v>12</v>
      </c>
      <c r="E11" s="16" t="s">
        <v>143</v>
      </c>
      <c r="F11" s="10" t="s">
        <v>226</v>
      </c>
      <c r="G11" s="18" t="s">
        <v>270</v>
      </c>
      <c r="H11" s="20">
        <v>0.8</v>
      </c>
    </row>
    <row r="12" spans="1:26">
      <c r="A12" s="10">
        <f t="shared" si="0"/>
        <v>131</v>
      </c>
      <c r="B12" s="13" t="str">
        <f>VLOOKUP(D12,Supply!A:B,2,FALSE)</f>
        <v>狼牙棒</v>
      </c>
      <c r="C12" s="16" t="s">
        <v>377</v>
      </c>
      <c r="D12" s="10">
        <v>13</v>
      </c>
      <c r="E12" s="16" t="s">
        <v>143</v>
      </c>
      <c r="F12" s="10" t="s">
        <v>226</v>
      </c>
      <c r="G12" s="18" t="s">
        <v>341</v>
      </c>
      <c r="H12" s="20">
        <v>1</v>
      </c>
      <c r="I12" s="10" t="s">
        <v>221</v>
      </c>
      <c r="J12" s="18" t="s">
        <v>260</v>
      </c>
      <c r="K12" s="20">
        <v>0.5</v>
      </c>
    </row>
    <row r="13" spans="1:26">
      <c r="B13" s="13"/>
      <c r="C13" s="16"/>
      <c r="E13" s="16"/>
    </row>
    <row r="14" spans="1:26">
      <c r="B14" s="13"/>
      <c r="C14" s="16"/>
      <c r="E14" s="16"/>
    </row>
    <row r="15" spans="1:26">
      <c r="B15" s="13"/>
      <c r="C15" s="16"/>
      <c r="E15" s="16"/>
    </row>
    <row r="16" spans="1:26">
      <c r="B16" s="12" t="s">
        <v>318</v>
      </c>
      <c r="C16" s="16"/>
      <c r="D16" s="13"/>
      <c r="E16" s="16"/>
    </row>
    <row r="17" spans="1:11">
      <c r="A17" s="10">
        <f>D17*10+1</f>
        <v>50011</v>
      </c>
      <c r="B17" s="13" t="str">
        <f>VLOOKUP(D17,Supply!A:B,2,FALSE)</f>
        <v>獻祭小刀</v>
      </c>
      <c r="C17" s="16">
        <v>1</v>
      </c>
      <c r="D17" s="10">
        <v>5001</v>
      </c>
      <c r="E17" s="16" t="s">
        <v>143</v>
      </c>
      <c r="F17" s="10" t="s">
        <v>226</v>
      </c>
      <c r="G17" s="18" t="s">
        <v>323</v>
      </c>
      <c r="H17" s="20">
        <v>1</v>
      </c>
      <c r="I17" s="10" t="s">
        <v>309</v>
      </c>
      <c r="J17" s="18" t="s">
        <v>314</v>
      </c>
      <c r="K17" s="20">
        <v>1</v>
      </c>
    </row>
    <row r="18" spans="1:11">
      <c r="B18" s="13"/>
      <c r="C18" s="16"/>
      <c r="E18" s="16"/>
    </row>
    <row r="19" spans="1:11">
      <c r="B19" s="13"/>
      <c r="C19" s="16"/>
      <c r="E19" s="16"/>
    </row>
    <row r="20" spans="1:11">
      <c r="B20" s="13"/>
      <c r="C20" s="16"/>
      <c r="E20" s="16"/>
    </row>
    <row r="21" spans="1:11">
      <c r="B21" s="13"/>
      <c r="C21" s="16"/>
      <c r="D21" s="13"/>
      <c r="E21" s="16"/>
    </row>
    <row r="22" spans="1:11">
      <c r="B22" s="12" t="s">
        <v>267</v>
      </c>
      <c r="C22" s="16"/>
      <c r="D22" s="13"/>
      <c r="E22" s="16"/>
    </row>
    <row r="23" spans="1:11">
      <c r="A23" s="10">
        <f>D23*10+1</f>
        <v>100011</v>
      </c>
      <c r="B23" s="13" t="str">
        <f>VLOOKUP(D23,Supply!A:B,2,FALSE)</f>
        <v>重踹</v>
      </c>
      <c r="C23" s="16">
        <v>1</v>
      </c>
      <c r="D23" s="13">
        <v>10001</v>
      </c>
      <c r="E23" s="16" t="s">
        <v>143</v>
      </c>
      <c r="F23" s="10" t="s">
        <v>226</v>
      </c>
      <c r="G23" s="18" t="s">
        <v>290</v>
      </c>
      <c r="H23" s="20">
        <v>1</v>
      </c>
      <c r="I23" s="10" t="s">
        <v>221</v>
      </c>
      <c r="J23" s="18" t="s">
        <v>260</v>
      </c>
      <c r="K23" s="20">
        <v>0.5</v>
      </c>
    </row>
    <row r="24" spans="1:11">
      <c r="B24" s="13"/>
      <c r="C24" s="16"/>
      <c r="D24" s="13"/>
      <c r="E24" s="16"/>
    </row>
    <row r="25" spans="1:11">
      <c r="A25" s="10">
        <f>D25*10+1</f>
        <v>100021</v>
      </c>
      <c r="B25" s="13" t="str">
        <f>VLOOKUP(D25,Supply!A:B,2,FALSE)</f>
        <v>徒手搏擊</v>
      </c>
      <c r="C25" s="16">
        <v>1</v>
      </c>
      <c r="D25" s="13">
        <v>10002</v>
      </c>
      <c r="E25" s="16" t="s">
        <v>143</v>
      </c>
      <c r="F25" s="10" t="s">
        <v>226</v>
      </c>
      <c r="G25" s="18" t="s">
        <v>291</v>
      </c>
      <c r="H25" s="20">
        <v>1</v>
      </c>
    </row>
    <row r="26" spans="1:11">
      <c r="B26" s="13"/>
      <c r="C26" s="16"/>
      <c r="D26" s="13"/>
      <c r="E26" s="16"/>
    </row>
    <row r="27" spans="1:11">
      <c r="B27" s="13"/>
      <c r="C27" s="16"/>
      <c r="D27" s="13"/>
      <c r="E27" s="16"/>
    </row>
    <row r="28" spans="1:11">
      <c r="B28" s="12" t="s">
        <v>319</v>
      </c>
      <c r="C28" s="16"/>
      <c r="D28" s="13"/>
      <c r="E28" s="16"/>
    </row>
    <row r="29" spans="1:11">
      <c r="A29" s="10">
        <f>D29*10+1</f>
        <v>110011</v>
      </c>
      <c r="B29" s="13" t="str">
        <f>VLOOKUP(D29,Supply!A:B,2,FALSE)</f>
        <v>厚重百科全書</v>
      </c>
      <c r="C29" s="16">
        <v>1</v>
      </c>
      <c r="D29" s="10">
        <v>11001</v>
      </c>
      <c r="E29" s="16" t="s">
        <v>143</v>
      </c>
      <c r="F29" s="10" t="s">
        <v>226</v>
      </c>
      <c r="G29" s="18" t="s">
        <v>250</v>
      </c>
      <c r="H29" s="20">
        <v>1</v>
      </c>
      <c r="I29" s="10" t="s">
        <v>221</v>
      </c>
      <c r="J29" s="18" t="s">
        <v>260</v>
      </c>
      <c r="K29" s="20">
        <v>1</v>
      </c>
    </row>
    <row r="30" spans="1:11">
      <c r="B30" s="13"/>
      <c r="C30" s="16"/>
      <c r="D30" s="13"/>
      <c r="E30" s="16"/>
    </row>
    <row r="31" spans="1:11">
      <c r="A31" s="10">
        <f>D31*10+1</f>
        <v>110021</v>
      </c>
      <c r="B31" s="13" t="str">
        <f>VLOOKUP(D31,Supply!A:B,2,FALSE)</f>
        <v>步槍</v>
      </c>
      <c r="C31" s="16">
        <v>1</v>
      </c>
      <c r="D31" s="10">
        <v>11002</v>
      </c>
      <c r="E31" s="16" t="s">
        <v>143</v>
      </c>
      <c r="F31" s="10" t="s">
        <v>226</v>
      </c>
      <c r="G31" s="18" t="s">
        <v>316</v>
      </c>
      <c r="H31" s="20">
        <v>0.8</v>
      </c>
    </row>
    <row r="32" spans="1:11">
      <c r="B32" s="13"/>
      <c r="C32" s="16"/>
      <c r="E32" s="16"/>
    </row>
    <row r="33" spans="1:11">
      <c r="A33" s="10">
        <f>D33*10+1</f>
        <v>110031</v>
      </c>
      <c r="B33" s="13" t="str">
        <f>VLOOKUP(D33,Supply!A:B,2,FALSE)</f>
        <v>手術刀</v>
      </c>
      <c r="C33" s="16">
        <v>1</v>
      </c>
      <c r="D33" s="10">
        <v>11003</v>
      </c>
      <c r="E33" s="16" t="s">
        <v>143</v>
      </c>
      <c r="F33" s="10" t="s">
        <v>226</v>
      </c>
      <c r="G33" s="18" t="s">
        <v>271</v>
      </c>
      <c r="H33" s="20">
        <v>1</v>
      </c>
      <c r="I33" s="10" t="s">
        <v>309</v>
      </c>
      <c r="J33" s="18" t="s">
        <v>310</v>
      </c>
      <c r="K33" s="20">
        <v>1</v>
      </c>
    </row>
    <row r="34" spans="1:11">
      <c r="B34" s="13"/>
      <c r="C34" s="16"/>
      <c r="D34" s="13"/>
      <c r="E34" s="16"/>
    </row>
    <row r="35" spans="1:11">
      <c r="B35" s="13"/>
      <c r="C35" s="16"/>
      <c r="D35" s="13"/>
      <c r="E35" s="16"/>
    </row>
    <row r="36" spans="1:11">
      <c r="B36" s="13"/>
      <c r="C36" s="16"/>
      <c r="D36" s="13"/>
      <c r="E36" s="16"/>
    </row>
    <row r="38" spans="1:11">
      <c r="A38" s="11" t="s">
        <v>0</v>
      </c>
    </row>
  </sheetData>
  <phoneticPr fontId="1" type="noConversion"/>
  <dataValidations count="2">
    <dataValidation type="list" allowBlank="1" showInputMessage="1" showErrorMessage="1" sqref="F1:F1048576 R1:R1048576 O1:O1048576 I1:I1048576 X1:X1048576 U1:U1048576 L1:L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A10" t="s">
        <v>336</v>
      </c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A9" sqref="A9:B9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131</v>
      </c>
    </row>
    <row r="2" spans="1:8">
      <c r="A2" s="7" t="s">
        <v>78</v>
      </c>
      <c r="B2" s="8" t="s">
        <v>132</v>
      </c>
    </row>
    <row r="3" spans="1:8">
      <c r="A3" s="7"/>
      <c r="B3" s="8"/>
    </row>
    <row r="5" spans="1:8">
      <c r="A5" s="1"/>
    </row>
    <row r="9" spans="1:8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</row>
    <row r="10" spans="1:8" ht="31.5">
      <c r="A10" t="s">
        <v>227</v>
      </c>
      <c r="B10" s="6" t="s">
        <v>231</v>
      </c>
      <c r="C10" t="s">
        <v>144</v>
      </c>
      <c r="D10" t="s">
        <v>146</v>
      </c>
      <c r="E10" t="s">
        <v>325</v>
      </c>
      <c r="F10">
        <v>4</v>
      </c>
      <c r="G10" t="s">
        <v>168</v>
      </c>
      <c r="H10" t="s">
        <v>170</v>
      </c>
    </row>
    <row r="11" spans="1:8" ht="31.5">
      <c r="A11" t="s">
        <v>228</v>
      </c>
      <c r="B11" s="6" t="s">
        <v>232</v>
      </c>
      <c r="C11" t="s">
        <v>145</v>
      </c>
      <c r="D11" t="s">
        <v>147</v>
      </c>
      <c r="E11" t="s">
        <v>326</v>
      </c>
      <c r="F11">
        <v>4</v>
      </c>
      <c r="G11" t="s">
        <v>169</v>
      </c>
      <c r="H11" t="s">
        <v>171</v>
      </c>
    </row>
    <row r="12" spans="1:8" ht="31.5">
      <c r="A12" t="s">
        <v>229</v>
      </c>
      <c r="B12" s="6" t="s">
        <v>233</v>
      </c>
      <c r="E12" t="s">
        <v>327</v>
      </c>
      <c r="F12">
        <v>9</v>
      </c>
    </row>
    <row r="13" spans="1:8" ht="31.5">
      <c r="A13" t="s">
        <v>230</v>
      </c>
      <c r="B13" s="6" t="s">
        <v>234</v>
      </c>
      <c r="E13" t="s">
        <v>328</v>
      </c>
      <c r="F13">
        <v>3</v>
      </c>
    </row>
    <row r="14" spans="1:8" ht="31.5">
      <c r="A14" t="s">
        <v>162</v>
      </c>
      <c r="B14" s="6" t="s">
        <v>238</v>
      </c>
      <c r="E14" t="s">
        <v>329</v>
      </c>
      <c r="F14">
        <v>2</v>
      </c>
    </row>
    <row r="15" spans="1:8" ht="31.5">
      <c r="A15" t="s">
        <v>174</v>
      </c>
      <c r="B15" s="6" t="s">
        <v>252</v>
      </c>
      <c r="E15" t="s">
        <v>330</v>
      </c>
      <c r="F15">
        <v>2</v>
      </c>
    </row>
    <row r="16" spans="1:8" ht="31.5">
      <c r="A16" t="s">
        <v>176</v>
      </c>
      <c r="B16" s="6" t="s">
        <v>253</v>
      </c>
      <c r="E16" t="s">
        <v>331</v>
      </c>
      <c r="F16">
        <v>1</v>
      </c>
    </row>
    <row r="17" spans="1:6" ht="31.5">
      <c r="A17" t="s">
        <v>163</v>
      </c>
      <c r="B17" s="6" t="s">
        <v>239</v>
      </c>
      <c r="E17" t="s">
        <v>332</v>
      </c>
      <c r="F17">
        <v>1</v>
      </c>
    </row>
    <row r="18" spans="1:6" ht="31.5">
      <c r="A18" t="s">
        <v>175</v>
      </c>
      <c r="B18" s="6" t="s">
        <v>240</v>
      </c>
      <c r="E18" t="s">
        <v>333</v>
      </c>
      <c r="F18">
        <v>1</v>
      </c>
    </row>
    <row r="19" spans="1:6" ht="31.5">
      <c r="A19" t="s">
        <v>254</v>
      </c>
      <c r="B19" s="6" t="s">
        <v>237</v>
      </c>
    </row>
    <row r="20" spans="1:6" ht="31.5">
      <c r="A20" t="s">
        <v>251</v>
      </c>
      <c r="B20" s="6" t="s">
        <v>246</v>
      </c>
    </row>
    <row r="21" spans="1:6" ht="31.5">
      <c r="A21" t="s">
        <v>235</v>
      </c>
      <c r="B21" s="6" t="s">
        <v>241</v>
      </c>
    </row>
    <row r="22" spans="1:6" ht="31.5">
      <c r="A22" t="s">
        <v>178</v>
      </c>
      <c r="B22" s="6" t="s">
        <v>242</v>
      </c>
    </row>
    <row r="23" spans="1:6" ht="31.5">
      <c r="A23" t="s">
        <v>179</v>
      </c>
      <c r="B23" s="6" t="s">
        <v>243</v>
      </c>
    </row>
    <row r="24" spans="1:6" ht="31.5">
      <c r="A24" t="s">
        <v>183</v>
      </c>
      <c r="B24" s="6" t="s">
        <v>244</v>
      </c>
    </row>
    <row r="25" spans="1:6" ht="31.5">
      <c r="A25" t="s">
        <v>184</v>
      </c>
      <c r="B25" s="6" t="s">
        <v>180</v>
      </c>
    </row>
    <row r="26" spans="1:6" ht="31.5">
      <c r="A26" t="s">
        <v>185</v>
      </c>
      <c r="B26" s="6" t="s">
        <v>236</v>
      </c>
    </row>
    <row r="27" spans="1:6" ht="31.5">
      <c r="A27" t="s">
        <v>186</v>
      </c>
      <c r="B27" s="6" t="s">
        <v>181</v>
      </c>
    </row>
    <row r="28" spans="1:6" ht="31.5">
      <c r="A28" t="s">
        <v>287</v>
      </c>
      <c r="B28" s="6" t="s">
        <v>182</v>
      </c>
    </row>
    <row r="29" spans="1:6">
      <c r="A29" t="s">
        <v>177</v>
      </c>
      <c r="B29" t="s">
        <v>134</v>
      </c>
    </row>
    <row r="30" spans="1:6" ht="31.5">
      <c r="A30" t="s">
        <v>222</v>
      </c>
      <c r="B30" s="6" t="s">
        <v>223</v>
      </c>
    </row>
    <row r="31" spans="1:6" ht="31.5">
      <c r="A31" t="s">
        <v>224</v>
      </c>
      <c r="B31" s="6" t="s">
        <v>249</v>
      </c>
    </row>
    <row r="32" spans="1:6" ht="31.5">
      <c r="A32" t="s">
        <v>225</v>
      </c>
      <c r="B32" s="6" t="s">
        <v>248</v>
      </c>
    </row>
    <row r="33" spans="1:2" ht="31.5">
      <c r="A33" t="s">
        <v>245</v>
      </c>
      <c r="B33" s="6" t="s">
        <v>247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37"/>
  <sheetViews>
    <sheetView workbookViewId="0">
      <selection activeCell="B4" sqref="B4"/>
    </sheetView>
  </sheetViews>
  <sheetFormatPr defaultColWidth="21.28515625" defaultRowHeight="15.75"/>
  <cols>
    <col min="1" max="1" width="83.5703125" style="22" customWidth="1"/>
    <col min="2" max="2" width="48.28515625" style="22" customWidth="1"/>
    <col min="3" max="3" width="30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5" ht="16.5">
      <c r="A1" s="21" t="s">
        <v>339</v>
      </c>
      <c r="B1" s="21" t="s">
        <v>334</v>
      </c>
      <c r="C1" s="21" t="s">
        <v>343</v>
      </c>
    </row>
    <row r="2" spans="1:5">
      <c r="A2" s="23" t="s">
        <v>342</v>
      </c>
      <c r="B2" s="24" t="s">
        <v>374</v>
      </c>
      <c r="C2" s="24">
        <v>1024</v>
      </c>
    </row>
    <row r="3" spans="1:5">
      <c r="B3" s="22" t="s">
        <v>348</v>
      </c>
    </row>
    <row r="4" spans="1:5">
      <c r="B4" s="22" t="s">
        <v>347</v>
      </c>
    </row>
    <row r="5" spans="1:5">
      <c r="B5" s="22" t="s">
        <v>351</v>
      </c>
    </row>
    <row r="6" spans="1:5" ht="16.5">
      <c r="A6" s="26" t="s">
        <v>340</v>
      </c>
      <c r="B6" s="24" t="s">
        <v>373</v>
      </c>
      <c r="C6" s="25"/>
      <c r="D6" s="25"/>
    </row>
    <row r="7" spans="1:5">
      <c r="A7" s="25" t="s">
        <v>344</v>
      </c>
      <c r="B7" s="24" t="s">
        <v>374</v>
      </c>
      <c r="C7" s="25"/>
      <c r="D7" s="25"/>
      <c r="E7" s="25" t="s">
        <v>344</v>
      </c>
    </row>
    <row r="8" spans="1:5">
      <c r="A8" s="25" t="s">
        <v>346</v>
      </c>
      <c r="B8" s="25"/>
      <c r="C8" s="25"/>
      <c r="D8" s="25"/>
      <c r="E8" s="25" t="s">
        <v>346</v>
      </c>
    </row>
    <row r="9" spans="1:5">
      <c r="A9" s="25" t="s">
        <v>356</v>
      </c>
      <c r="B9" s="25"/>
      <c r="C9" s="25"/>
      <c r="D9" s="25"/>
      <c r="E9" s="25" t="s">
        <v>356</v>
      </c>
    </row>
    <row r="10" spans="1:5">
      <c r="A10" s="25" t="s">
        <v>355</v>
      </c>
      <c r="B10" s="25"/>
      <c r="C10" s="25"/>
      <c r="D10" s="25"/>
      <c r="E10" s="25" t="s">
        <v>355</v>
      </c>
    </row>
    <row r="11" spans="1:5">
      <c r="A11" s="25" t="s">
        <v>354</v>
      </c>
      <c r="B11" s="25"/>
      <c r="C11" s="25"/>
      <c r="D11" s="25"/>
      <c r="E11" s="25" t="s">
        <v>354</v>
      </c>
    </row>
    <row r="12" spans="1:5">
      <c r="A12" s="25" t="s">
        <v>345</v>
      </c>
      <c r="B12" s="25"/>
      <c r="C12" s="25"/>
      <c r="D12" s="25"/>
      <c r="E12" s="25" t="s">
        <v>345</v>
      </c>
    </row>
    <row r="13" spans="1:5">
      <c r="A13" s="25"/>
      <c r="B13" s="25"/>
      <c r="C13" s="25"/>
      <c r="D13" s="25"/>
    </row>
    <row r="15" spans="1:5">
      <c r="E15" s="24" t="s">
        <v>357</v>
      </c>
    </row>
    <row r="16" spans="1:5">
      <c r="E16" s="24" t="s">
        <v>358</v>
      </c>
    </row>
    <row r="19" spans="1:8" ht="16.5">
      <c r="A19" s="26" t="s">
        <v>335</v>
      </c>
      <c r="B19" s="26"/>
      <c r="C19" s="24"/>
      <c r="D19" s="24"/>
    </row>
    <row r="20" spans="1:8" ht="16.5">
      <c r="A20" s="26" t="s">
        <v>337</v>
      </c>
      <c r="B20" s="26" t="s">
        <v>338</v>
      </c>
      <c r="C20" s="24"/>
      <c r="D20" s="24"/>
      <c r="F20" s="27"/>
      <c r="G20" s="27"/>
      <c r="H20" s="27"/>
    </row>
    <row r="21" spans="1:8">
      <c r="A21" s="28" t="s">
        <v>349</v>
      </c>
      <c r="B21" s="28" t="s">
        <v>350</v>
      </c>
      <c r="C21" s="24"/>
      <c r="D21" s="24"/>
      <c r="F21" s="27"/>
      <c r="G21" s="27"/>
      <c r="H21" s="27"/>
    </row>
    <row r="22" spans="1:8">
      <c r="A22" s="28" t="s">
        <v>359</v>
      </c>
      <c r="B22" s="28" t="s">
        <v>360</v>
      </c>
      <c r="C22" s="27"/>
      <c r="D22" s="27"/>
      <c r="F22" s="27"/>
      <c r="G22" s="27"/>
      <c r="H22" s="27"/>
    </row>
    <row r="23" spans="1:8">
      <c r="A23" s="28" t="s">
        <v>361</v>
      </c>
      <c r="B23" s="28" t="s">
        <v>362</v>
      </c>
      <c r="C23" s="27"/>
      <c r="D23" s="27"/>
      <c r="F23" s="27"/>
      <c r="G23" s="27"/>
      <c r="H23" s="27"/>
    </row>
    <row r="24" spans="1:8">
      <c r="A24" s="28" t="s">
        <v>363</v>
      </c>
      <c r="B24" s="28" t="s">
        <v>364</v>
      </c>
      <c r="C24" s="27"/>
      <c r="D24" s="27"/>
      <c r="F24" s="27"/>
      <c r="G24" s="27"/>
      <c r="H24" s="27"/>
    </row>
    <row r="25" spans="1:8">
      <c r="A25" s="28" t="s">
        <v>365</v>
      </c>
      <c r="B25" s="28" t="s">
        <v>366</v>
      </c>
      <c r="C25" s="27"/>
      <c r="D25" s="27"/>
      <c r="F25" s="27"/>
      <c r="G25" s="27"/>
      <c r="H25" s="27"/>
    </row>
    <row r="26" spans="1:8" ht="15.75" customHeight="1">
      <c r="A26" s="28" t="s">
        <v>367</v>
      </c>
      <c r="B26" s="28" t="s">
        <v>368</v>
      </c>
      <c r="C26" s="27"/>
      <c r="D26" s="27"/>
      <c r="F26" s="27"/>
      <c r="G26" s="27"/>
      <c r="H26" s="27"/>
    </row>
    <row r="27" spans="1:8" ht="15.75" customHeight="1">
      <c r="A27" s="28" t="s">
        <v>369</v>
      </c>
      <c r="B27" s="28" t="s">
        <v>370</v>
      </c>
      <c r="C27" s="27"/>
      <c r="D27" s="27"/>
      <c r="F27" s="27"/>
      <c r="G27" s="27"/>
      <c r="H27" s="27"/>
    </row>
    <row r="28" spans="1:8" ht="15.75" customHeight="1">
      <c r="A28" s="28" t="s">
        <v>372</v>
      </c>
      <c r="B28" s="28" t="s">
        <v>371</v>
      </c>
      <c r="C28" s="27"/>
      <c r="D28" s="27"/>
      <c r="F28" s="27"/>
      <c r="G28" s="27"/>
      <c r="H28" s="27"/>
    </row>
    <row r="29" spans="1:8" ht="15.75" customHeight="1">
      <c r="A29" s="28"/>
      <c r="B29" s="28"/>
      <c r="C29" s="27"/>
      <c r="D29" s="27"/>
      <c r="F29" s="27"/>
      <c r="G29" s="27"/>
      <c r="H29" s="27"/>
    </row>
    <row r="30" spans="1:8">
      <c r="A30" s="28"/>
      <c r="B30" s="28"/>
      <c r="C30" s="27"/>
      <c r="D30" s="27"/>
      <c r="E30" s="29"/>
      <c r="F30" s="29"/>
      <c r="G30" s="29"/>
      <c r="H30" s="29"/>
    </row>
    <row r="31" spans="1:8">
      <c r="A31" s="28"/>
      <c r="B31" s="28"/>
    </row>
    <row r="32" spans="1:8">
      <c r="A32" s="28"/>
      <c r="B32" s="28"/>
    </row>
    <row r="33" spans="1:2">
      <c r="A33" s="28"/>
      <c r="B33" s="28"/>
    </row>
    <row r="34" spans="1:2">
      <c r="A34" s="28"/>
      <c r="B34" s="28"/>
    </row>
    <row r="35" spans="1:2">
      <c r="A35" s="28"/>
      <c r="B35" s="28"/>
    </row>
    <row r="36" spans="1:2">
      <c r="A36" s="28"/>
      <c r="B36" s="28"/>
    </row>
    <row r="37" spans="1:2">
      <c r="A37" s="28"/>
      <c r="B37" s="28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7</vt:i4>
      </vt:variant>
    </vt:vector>
  </HeadingPairs>
  <TitlesOfParts>
    <vt:vector size="12" baseType="lpstr">
      <vt:lpstr>Supply</vt:lpstr>
      <vt:lpstr>SupplyEffect</vt:lpstr>
      <vt:lpstr>Info</vt:lpstr>
      <vt:lpstr>Setting</vt:lpstr>
      <vt:lpstr>AISetting</vt:lpstr>
      <vt:lpstr>APIKey</vt:lpstr>
      <vt:lpstr>Token數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2023-05-16T19:47:43Z</dcterms:modified>
</cp:coreProperties>
</file>