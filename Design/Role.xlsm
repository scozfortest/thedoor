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RolePlot" sheetId="9" r:id="rId2"/>
    <sheet name="Talent" sheetId="10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E4" i="10"/>
  <c r="E3" i="10"/>
  <c r="E4" i="1" l="1"/>
  <c r="E5" i="1"/>
  <c r="D4" i="9" l="1"/>
  <c r="D3" i="9"/>
  <c r="E3" i="1" l="1"/>
</calcChain>
</file>

<file path=xl/comments1.xml><?xml version="1.0" encoding="utf-8"?>
<comments xmlns="http://schemas.openxmlformats.org/spreadsheetml/2006/main">
  <authors>
    <author>scoz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可用逗號隔開填多個道具
創腳時會從清單中隨機出一個
例如: 1,2 就是會從1或2中抽一個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<sst xmlns="http://schemas.openxmlformats.org/spreadsheetml/2006/main" count="279" uniqueCount="202">
  <si>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</si>
  <si>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</si>
  <si>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</si>
  <si>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</si>
  <si>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</si>
  <si>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</si>
  <si>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</si>
  <si>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</si>
  <si>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</si>
  <si>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</si>
  <si>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</si>
  <si>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</si>
  <si>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</si>
  <si>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</si>
  <si>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</si>
  <si>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</si>
  <si>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</si>
  <si>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</si>
  <si>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</si>
  <si>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</si>
  <si>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</si>
  <si>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</si>
  <si>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</si>
  <si>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</si>
  <si>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</si>
  <si>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</si>
  <si>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</si>
  <si>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</si>
  <si>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</si>
  <si>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</si>
  <si>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</si>
  <si>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</si>
  <si>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</si>
  <si>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</si>
  <si>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</si>
  <si>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</si>
  <si>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</si>
  <si>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</si>
  <si>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</si>
  <si>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</si>
  <si>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</si>
  <si>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</si>
  <si>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</si>
  <si>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</si>
  <si>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</si>
  <si>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</si>
  <si>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</si>
  <si>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</si>
  <si>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</si>
  <si>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</si>
  <si>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</si>
  <si>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</si>
  <si>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</si>
  <si>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</si>
  <si>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</si>
  <si>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</si>
  <si>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</si>
  <si>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</si>
  <si>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</si>
  <si>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</si>
  <si>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</si>
  <si>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</si>
  <si>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</si>
  <si>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</si>
  <si>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</si>
  <si>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</si>
  <si>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</si>
  <si>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</si>
  <si>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</si>
  <si>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</si>
  <si>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</si>
  <si>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</si>
  <si>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</si>
  <si>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</si>
  <si>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</si>
  <si>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</si>
  <si>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</si>
  <si>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</si>
  <si>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</si>
  <si>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</si>
  <si>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</si>
  <si>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</si>
  <si>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</si>
  <si>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</si>
  <si>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</si>
  <si>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</si>
  <si>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</si>
  <si>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</si>
  <si>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</si>
  <si>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</si>
  <si>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</si>
  <si>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</si>
  <si>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</si>
  <si>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</si>
  <si>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</si>
  <si>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</si>
  <si>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</si>
  <si>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</si>
  <si>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</si>
  <si>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</si>
  <si>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</si>
  <si>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</si>
  <si>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</si>
  <si>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</si>
  <si>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</si>
  <si>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</si>
  <si>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</si>
  <si>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</si>
  <si>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</si>
  <si>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</si>
  <si>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</si>
  <si>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</si>
  <si>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</si>
  <si>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</si>
  <si>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</si>
  <si>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</si>
  <si>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</si>
  <si>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</si>
  <si>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</si>
  <si>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</si>
  <si>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</si>
  <si>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</si>
  <si>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</si>
  <si>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</si>
  <si>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</si>
  <si>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</si>
  <si>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</si>
  <si>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</si>
  <si>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</si>
  <si>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</si>
  <si>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</si>
  <si>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</si>
  <si>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</si>
  <si>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</si>
  <si>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</si>
  <si>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</si>
  <si>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</si>
  <si>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</si>
  <si>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</si>
  <si>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</si>
  <si>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解鎖需求參數</t>
    <phoneticPr fontId="1" type="noConversion"/>
  </si>
  <si>
    <t>Items</t>
    <phoneticPr fontId="1" type="noConversion"/>
  </si>
  <si>
    <t>指定道具</t>
    <phoneticPr fontId="1" type="noConversion"/>
  </si>
  <si>
    <t>隨機道具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</si>
  <si>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</si>
  <si>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</si>
  <si>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</si>
  <si>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</si>
  <si>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RandomItems</t>
    <phoneticPr fontId="1" type="noConversion"/>
  </si>
  <si>
    <t>ExclusiveScripts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</si>
  <si>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</si>
  <si>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</si>
  <si>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</si>
  <si>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</si>
  <si>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</si>
  <si>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</si>
  <si>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</si>
  <si>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</si>
  <si>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Probability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</si>
  <si>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</si>
  <si>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</si>
  <si>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</si>
  <si>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觸發機率</t>
    <phoneticPr fontId="1" type="noConversion"/>
  </si>
  <si>
    <t>2</t>
    <phoneticPr fontId="1" type="noConversion"/>
  </si>
  <si>
    <t>End</t>
    <phoneticPr fontId="1" type="noConversion"/>
  </si>
  <si>
    <t>調查</t>
    <phoneticPr fontId="1" type="noConversion"/>
  </si>
  <si>
    <t>Investigation</t>
  </si>
  <si>
    <t>HideAndSeek</t>
  </si>
  <si>
    <t>躲貓貓</t>
    <phoneticPr fontId="1" type="noConversion"/>
  </si>
  <si>
    <t>敵方第一次攻擊時間延長</t>
    <phoneticPr fontId="1" type="noConversion"/>
  </si>
  <si>
    <t>CombatInstinct</t>
  </si>
  <si>
    <t>CombatInstinct</t>
    <phoneticPr fontId="1" type="noConversion"/>
  </si>
  <si>
    <t>作戰本能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</si>
  <si>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</si>
  <si>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</si>
  <si>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</si>
  <si>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</si>
  <si>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</si>
  <si>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</si>
  <si>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</si>
  <si>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</si>
  <si>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</si>
  <si>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</si>
  <si>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3</t>
    <phoneticPr fontId="1" type="noConversion"/>
  </si>
  <si>
    <t>1</t>
    <phoneticPr fontId="1" type="noConversion"/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</si>
  <si>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</si>
  <si>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</si>
  <si>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</si>
  <si>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Note_</t>
    <phoneticPr fontId="1" type="noConversion"/>
  </si>
  <si>
    <t>備註</t>
    <phoneticPr fontId="1" type="noConversion"/>
  </si>
  <si>
    <t>調查: 預知下三道門的類型</t>
    <phoneticPr fontId="1" type="noConversion"/>
  </si>
  <si>
    <t>傷害+1</t>
    <phoneticPr fontId="1" type="noConversion"/>
  </si>
  <si>
    <t>Value1: 回和數</t>
    <phoneticPr fontId="1" type="noConversion"/>
  </si>
  <si>
    <t>Value1: 下x道門</t>
    <phoneticPr fontId="1" type="noConversion"/>
  </si>
  <si>
    <t>Value1: 增加x傷害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</si>
  <si>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</si>
  <si>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</si>
  <si>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</si>
  <si>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</t>
    <phoneticPr fontId="1" type="noConversion"/>
  </si>
  <si>
    <t>TalentType</t>
    <phoneticPr fontId="1" type="noConversion"/>
  </si>
  <si>
    <t>HideAndSeek</t>
    <phoneticPr fontId="1" type="noConversion"/>
  </si>
  <si>
    <t>Investigation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</si>
</sst>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12" sqref="I1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140625" style="10" customWidth="1"/>
    <col min="9" max="9" width="13.85546875" style="10" customWidth="1"/>
    <col min="10" max="10" width="14.42578125" style="10" customWidth="1"/>
    <col min="11" max="11" width="15.5703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126</v>
      </c>
      <c r="D1" s="12" t="s">
        <v>145</v>
      </c>
      <c r="E1" s="14" t="s">
        <v>125</v>
      </c>
      <c r="F1" s="9" t="s">
        <v>196</v>
      </c>
      <c r="G1" s="9" t="s">
        <v>197</v>
      </c>
      <c r="H1" s="9" t="s">
        <v>198</v>
      </c>
      <c r="I1" s="9" t="s">
        <v>133</v>
      </c>
      <c r="J1" s="9" t="s">
        <v>146</v>
      </c>
      <c r="K1" s="9" t="s">
        <v>148</v>
      </c>
      <c r="L1" s="9" t="s">
        <v>141</v>
      </c>
      <c r="M1" s="9" t="s">
        <v>149</v>
      </c>
    </row>
    <row r="2" spans="1:13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195</v>
      </c>
      <c r="F2" s="9" t="s">
        <v>129</v>
      </c>
      <c r="G2" s="9" t="s">
        <v>128</v>
      </c>
      <c r="H2" s="9" t="s">
        <v>154</v>
      </c>
      <c r="I2" s="9" t="s">
        <v>134</v>
      </c>
      <c r="J2" s="9" t="s">
        <v>140</v>
      </c>
      <c r="K2" s="9" t="s">
        <v>143</v>
      </c>
      <c r="L2" s="9" t="s">
        <v>142</v>
      </c>
      <c r="M2" s="9" t="s">
        <v>144</v>
      </c>
    </row>
    <row r="3" spans="1:13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166</v>
      </c>
      <c r="L3" s="10">
        <v>1</v>
      </c>
    </row>
    <row r="4" spans="1:13">
      <c r="A4" s="10">
        <v>2</v>
      </c>
      <c r="B4" s="13" t="s">
        <v>185</v>
      </c>
      <c r="C4" s="16"/>
      <c r="D4" s="13">
        <v>1</v>
      </c>
      <c r="E4" s="10" t="str">
        <f t="shared" ref="E4:E5" si="0">"role"&amp;A4</f>
        <v>role2</v>
      </c>
      <c r="F4" s="10">
        <v>100</v>
      </c>
      <c r="G4" s="10">
        <v>60</v>
      </c>
      <c r="H4" s="10" t="s">
        <v>170</v>
      </c>
      <c r="I4" s="10" t="s">
        <v>147</v>
      </c>
      <c r="J4" s="10">
        <v>100</v>
      </c>
    </row>
    <row r="5" spans="1:13">
      <c r="A5" s="10">
        <v>3</v>
      </c>
      <c r="B5" s="13" t="s">
        <v>139</v>
      </c>
      <c r="C5" s="16"/>
      <c r="D5" s="13">
        <v>1</v>
      </c>
      <c r="E5" s="10" t="str">
        <f t="shared" si="0"/>
        <v>role3</v>
      </c>
      <c r="F5" s="10">
        <v>100</v>
      </c>
      <c r="G5" s="10">
        <v>60</v>
      </c>
      <c r="H5" s="10" t="s">
        <v>200</v>
      </c>
      <c r="I5" s="10" t="s">
        <v>147</v>
      </c>
      <c r="J5" s="10">
        <v>100</v>
      </c>
    </row>
    <row r="6" spans="1:13">
      <c r="B6" s="13"/>
      <c r="C6" s="16"/>
      <c r="E6" s="10"/>
    </row>
    <row r="7" spans="1:13">
      <c r="B7" s="13"/>
      <c r="C7" s="16"/>
      <c r="E7" s="10"/>
    </row>
    <row r="8" spans="1:13">
      <c r="B8" s="13"/>
      <c r="C8" s="16"/>
      <c r="E8" s="10"/>
    </row>
    <row r="9" spans="1:13">
      <c r="B9" s="13"/>
      <c r="C9" s="16"/>
      <c r="E9" s="10"/>
    </row>
    <row r="10" spans="1:13">
      <c r="C10" s="16"/>
      <c r="E10" s="10"/>
    </row>
    <row r="11" spans="1:13">
      <c r="C11" s="16"/>
      <c r="E11" s="10"/>
    </row>
    <row r="13" spans="1:13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I1:I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96"/>
  <sheetViews>
    <sheetView workbookViewId="0">
      <selection activeCell="B4" sqref="B4"/>
    </sheetView>
  </sheetViews>
  <sheetFormatPr defaultColWidth="7.5703125" defaultRowHeight="15.75"/>
  <cols>
    <col min="1" max="1" width="7.5703125" style="10"/>
    <col min="2" max="2" width="53.5703125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153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152</v>
      </c>
      <c r="D2" s="14" t="s">
        <v>82</v>
      </c>
    </row>
    <row r="3" spans="1:4" ht="189">
      <c r="A3" s="10">
        <v>1</v>
      </c>
      <c r="B3" s="16" t="s">
        <v>150</v>
      </c>
      <c r="C3" s="10">
        <v>1</v>
      </c>
      <c r="D3" s="10" t="str">
        <f>"rolePlot"&amp;C3&amp;"-"&amp;A3</f>
        <v>rolePlot1-1</v>
      </c>
    </row>
    <row r="4" spans="1:4" ht="94.5">
      <c r="A4" s="10">
        <v>2</v>
      </c>
      <c r="B4" s="16" t="s">
        <v>151</v>
      </c>
      <c r="C4" s="10">
        <v>1</v>
      </c>
      <c r="D4" s="10" t="str">
        <f>"rolePlot"&amp;C4&amp;"-"&amp;A4</f>
        <v>rolePlot1-2</v>
      </c>
    </row>
    <row r="5" spans="1:4">
      <c r="B5" s="16"/>
      <c r="D5" s="10"/>
    </row>
    <row r="6" spans="1:4">
      <c r="B6" s="16"/>
      <c r="D6" s="10"/>
    </row>
    <row r="7" spans="1:4">
      <c r="B7" s="16"/>
      <c r="D7" s="10"/>
    </row>
    <row r="8" spans="1:4">
      <c r="B8" s="16"/>
      <c r="D8" s="10"/>
    </row>
    <row r="9" spans="1:4">
      <c r="B9" s="16"/>
      <c r="D9" s="10"/>
    </row>
    <row r="10" spans="1:4">
      <c r="B10" s="16"/>
      <c r="D10" s="10"/>
    </row>
    <row r="11" spans="1:4">
      <c r="B11" s="16"/>
      <c r="D11" s="10"/>
    </row>
    <row r="13" spans="1:4">
      <c r="A13" s="11" t="s">
        <v>0</v>
      </c>
      <c r="C13" s="11"/>
    </row>
    <row r="157" spans="4:4" ht="31.5">
      <c r="D157" s="15" t="s">
        <v>83</v>
      </c>
    </row>
    <row r="158" spans="4:4" ht="31.5">
      <c r="D158" s="15" t="s">
        <v>84</v>
      </c>
    </row>
    <row r="159" spans="4:4" ht="31.5">
      <c r="D159" s="15" t="s">
        <v>85</v>
      </c>
    </row>
    <row r="160" spans="4:4" ht="31.5">
      <c r="D160" s="15" t="s">
        <v>86</v>
      </c>
    </row>
    <row r="161" spans="4:4" ht="31.5">
      <c r="D161" s="15" t="s">
        <v>87</v>
      </c>
    </row>
    <row r="162" spans="4:4">
      <c r="D162" s="15" t="s">
        <v>88</v>
      </c>
    </row>
    <row r="163" spans="4:4" ht="31.5">
      <c r="D163" s="15" t="s">
        <v>89</v>
      </c>
    </row>
    <row r="164" spans="4:4" ht="31.5">
      <c r="D164" s="15" t="s">
        <v>90</v>
      </c>
    </row>
    <row r="165" spans="4:4" ht="31.5">
      <c r="D165" s="15" t="s">
        <v>91</v>
      </c>
    </row>
    <row r="166" spans="4:4" ht="31.5">
      <c r="D166" s="15" t="s">
        <v>92</v>
      </c>
    </row>
    <row r="167" spans="4:4" ht="31.5">
      <c r="D167" s="15" t="s">
        <v>93</v>
      </c>
    </row>
    <row r="168" spans="4:4" ht="31.5">
      <c r="D168" s="15" t="s">
        <v>94</v>
      </c>
    </row>
    <row r="169" spans="4:4" ht="31.5">
      <c r="D169" s="15" t="s">
        <v>95</v>
      </c>
    </row>
    <row r="170" spans="4:4" ht="31.5">
      <c r="D170" s="15" t="s">
        <v>96</v>
      </c>
    </row>
    <row r="171" spans="4:4" ht="31.5">
      <c r="D171" s="15" t="s">
        <v>97</v>
      </c>
    </row>
    <row r="172" spans="4:4" ht="31.5">
      <c r="D172" s="15" t="s">
        <v>98</v>
      </c>
    </row>
    <row r="173" spans="4:4" ht="31.5">
      <c r="D173" s="15" t="s">
        <v>99</v>
      </c>
    </row>
    <row r="174" spans="4:4" ht="31.5">
      <c r="D174" s="15" t="s">
        <v>100</v>
      </c>
    </row>
    <row r="175" spans="4:4" ht="31.5">
      <c r="D175" s="15" t="s">
        <v>101</v>
      </c>
    </row>
    <row r="176" spans="4:4" ht="31.5">
      <c r="D176" s="15" t="s">
        <v>102</v>
      </c>
    </row>
    <row r="177" spans="4:4" ht="31.5">
      <c r="D177" s="15" t="s">
        <v>103</v>
      </c>
    </row>
    <row r="178" spans="4:4" ht="31.5">
      <c r="D178" s="15" t="s">
        <v>104</v>
      </c>
    </row>
    <row r="179" spans="4:4" ht="31.5">
      <c r="D179" s="15" t="s">
        <v>105</v>
      </c>
    </row>
    <row r="180" spans="4:4" ht="31.5">
      <c r="D180" s="15" t="s">
        <v>106</v>
      </c>
    </row>
    <row r="181" spans="4:4" ht="31.5">
      <c r="D181" s="15" t="s">
        <v>107</v>
      </c>
    </row>
    <row r="182" spans="4:4" ht="31.5">
      <c r="D182" s="15" t="s">
        <v>108</v>
      </c>
    </row>
    <row r="183" spans="4:4" ht="31.5">
      <c r="D183" s="15" t="s">
        <v>109</v>
      </c>
    </row>
    <row r="184" spans="4:4" ht="31.5">
      <c r="D184" s="15" t="s">
        <v>110</v>
      </c>
    </row>
    <row r="185" spans="4:4" ht="31.5">
      <c r="D185" s="15" t="s">
        <v>111</v>
      </c>
    </row>
    <row r="186" spans="4:4" ht="31.5">
      <c r="D186" s="15" t="s">
        <v>112</v>
      </c>
    </row>
    <row r="187" spans="4:4" ht="31.5">
      <c r="D187" s="15" t="s">
        <v>113</v>
      </c>
    </row>
    <row r="188" spans="4:4" ht="31.5">
      <c r="D188" s="15" t="s">
        <v>114</v>
      </c>
    </row>
    <row r="189" spans="4:4" ht="31.5">
      <c r="D189" s="15" t="s">
        <v>115</v>
      </c>
    </row>
    <row r="190" spans="4:4" ht="31.5">
      <c r="D190" s="15" t="s">
        <v>116</v>
      </c>
    </row>
    <row r="191" spans="4:4" ht="31.5">
      <c r="D191" s="15" t="s">
        <v>117</v>
      </c>
    </row>
    <row r="192" spans="4:4">
      <c r="D192" s="15" t="s">
        <v>118</v>
      </c>
    </row>
    <row r="193" spans="4:4" ht="31.5">
      <c r="D193" s="15" t="s">
        <v>119</v>
      </c>
    </row>
    <row r="194" spans="4:4" ht="31.5">
      <c r="D194" s="15" t="s">
        <v>120</v>
      </c>
    </row>
    <row r="195" spans="4:4">
      <c r="D195" s="15" t="s">
        <v>121</v>
      </c>
    </row>
    <row r="196" spans="4:4" ht="31.5">
      <c r="D196" s="15" t="s">
        <v>122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K18"/>
  <sheetViews>
    <sheetView workbookViewId="0">
      <selection activeCell="D19" sqref="D19"/>
    </sheetView>
  </sheetViews>
  <sheetFormatPr defaultColWidth="7.5703125" defaultRowHeight="15.75"/>
  <cols>
    <col min="1" max="1" width="17.140625" style="10" customWidth="1"/>
    <col min="2" max="2" width="15.85546875" style="10" customWidth="1"/>
    <col min="3" max="4" width="35.28515625" style="10" customWidth="1"/>
    <col min="5" max="5" width="16.28515625" style="10" customWidth="1"/>
    <col min="6" max="6" width="11.5703125" style="19" customWidth="1"/>
    <col min="7" max="11" width="12.5703125" style="20" customWidth="1"/>
    <col min="12" max="16384" width="7.5703125" style="10"/>
  </cols>
  <sheetData>
    <row r="1" spans="1:11" s="9" customFormat="1">
      <c r="A1" s="9" t="s">
        <v>155</v>
      </c>
      <c r="B1" s="9" t="s">
        <v>156</v>
      </c>
      <c r="C1" s="9" t="s">
        <v>157</v>
      </c>
      <c r="D1" s="9" t="s">
        <v>188</v>
      </c>
      <c r="E1" s="14" t="s">
        <v>125</v>
      </c>
      <c r="F1" s="17" t="s">
        <v>158</v>
      </c>
      <c r="G1" s="18" t="s">
        <v>174</v>
      </c>
      <c r="H1" s="18" t="s">
        <v>175</v>
      </c>
      <c r="I1" s="18" t="s">
        <v>176</v>
      </c>
      <c r="J1" s="18" t="s">
        <v>177</v>
      </c>
      <c r="K1" s="18" t="s">
        <v>178</v>
      </c>
    </row>
    <row r="2" spans="1:11" s="9" customFormat="1">
      <c r="A2" s="9" t="s">
        <v>159</v>
      </c>
      <c r="B2" s="9" t="s">
        <v>160</v>
      </c>
      <c r="C2" s="9" t="s">
        <v>161</v>
      </c>
      <c r="D2" s="9" t="s">
        <v>189</v>
      </c>
      <c r="E2" s="14" t="s">
        <v>195</v>
      </c>
      <c r="F2" s="17" t="s">
        <v>162</v>
      </c>
      <c r="G2" s="18" t="s">
        <v>173</v>
      </c>
      <c r="H2" s="18" t="s">
        <v>179</v>
      </c>
      <c r="I2" s="18" t="s">
        <v>180</v>
      </c>
      <c r="J2" s="18" t="s">
        <v>181</v>
      </c>
      <c r="K2" s="18" t="s">
        <v>182</v>
      </c>
    </row>
    <row r="3" spans="1:11">
      <c r="A3" s="10" t="s">
        <v>201</v>
      </c>
      <c r="B3" s="13" t="s">
        <v>165</v>
      </c>
      <c r="C3" s="15" t="s">
        <v>190</v>
      </c>
      <c r="D3" s="6" t="s">
        <v>193</v>
      </c>
      <c r="E3" s="10" t="str">
        <f>A3</f>
        <v>Investigation</v>
      </c>
      <c r="G3" s="20" t="s">
        <v>183</v>
      </c>
    </row>
    <row r="4" spans="1:11">
      <c r="A4" s="10" t="s">
        <v>171</v>
      </c>
      <c r="B4" s="10" t="s">
        <v>172</v>
      </c>
      <c r="C4" s="10" t="s">
        <v>191</v>
      </c>
      <c r="D4" s="6" t="s">
        <v>194</v>
      </c>
      <c r="E4" s="10" t="str">
        <f t="shared" ref="E4:E5" si="0">A4</f>
        <v>CombatInstinct</v>
      </c>
      <c r="G4" s="20" t="s">
        <v>184</v>
      </c>
    </row>
    <row r="5" spans="1:11">
      <c r="A5" s="10" t="s">
        <v>167</v>
      </c>
      <c r="B5" s="13" t="s">
        <v>168</v>
      </c>
      <c r="C5" s="15" t="s">
        <v>169</v>
      </c>
      <c r="D5" s="6" t="s">
        <v>192</v>
      </c>
      <c r="E5" s="10" t="str">
        <f t="shared" si="0"/>
        <v>HideAndSeek</v>
      </c>
      <c r="G5" s="20" t="s">
        <v>163</v>
      </c>
    </row>
    <row r="6" spans="1:11">
      <c r="B6" s="13"/>
      <c r="C6" s="15"/>
      <c r="D6" s="15"/>
      <c r="E6" s="15"/>
    </row>
    <row r="7" spans="1:11">
      <c r="B7" s="13"/>
      <c r="C7" s="15"/>
      <c r="D7" s="15"/>
      <c r="E7" s="15"/>
    </row>
    <row r="8" spans="1:11">
      <c r="B8" s="13"/>
      <c r="C8" s="15"/>
      <c r="D8" s="15"/>
      <c r="E8" s="15"/>
    </row>
    <row r="9" spans="1:11">
      <c r="B9" s="13"/>
      <c r="C9" s="15"/>
      <c r="D9" s="15"/>
      <c r="E9" s="15"/>
    </row>
    <row r="10" spans="1:11">
      <c r="B10" s="13"/>
      <c r="C10" s="15"/>
      <c r="D10" s="15"/>
      <c r="E10" s="15"/>
    </row>
    <row r="11" spans="1:11">
      <c r="B11" s="13"/>
      <c r="C11" s="15"/>
      <c r="D11" s="15"/>
      <c r="E11" s="15"/>
    </row>
    <row r="18" spans="1:1">
      <c r="A18" s="11" t="s">
        <v>164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186</v>
      </c>
      <c r="B3" t="s">
        <v>187</v>
      </c>
      <c r="C3" t="s">
        <v>199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RolePlot</vt:lpstr>
      <vt:lpstr>Talent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2023-04-18T17:58:34Z</dcterms:modified>
</cp:coreProperties>
</file>