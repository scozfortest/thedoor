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2" codeName="{8C4F1C90-05EB-6A55-5F09-09C24B55AC0B}"/>
  <workbookPr codeName="ThisWorkbook"/>
  <bookViews>
    <workbookView xWindow="-28920" yWindow="-1485" windowWidth="29040" windowHeight="16440"/>
  </bookViews>
  <sheets>
    <sheet name="Role" sheetId="1" r:id="rId1"/>
    <sheet name="RolePlot" sheetId="9" r:id="rId2"/>
    <sheet name="Talent" sheetId="10" r:id="rId3"/>
    <sheet name="Info" sheetId="6" r:id="rId4"/>
    <sheet name="Setting" sheetId="7" r:id="rId5"/>
  </sheets>
  <functionGroups builtInGroupCount="17"/>
  <definedNames>
    <definedName name="Requirement">OFFSET(Setting!$C$10:$C$29,,,COUNTA(Setting!$C$10:$C$29))</definedName>
    <definedName name="Talent">OFFSET(Setting!$A$10:$A$29,,,COUNTA(Setting!$A$10:$A$29))</definedName>
    <definedName name="TalentType">OFFSET(Talent!$A$3:$A$300,,,COUNTA(Talent!$A$3:$A$300))</definedName>
  </definedNames>
  <calcPr calcId="144525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5" i="10" l="1"/>
  <c r="E4" i="10"/>
  <c r="E3" i="10"/>
  <c r="E4" i="1" l="1"/>
  <c r="E5" i="1"/>
  <c r="D4" i="9" l="1"/>
  <c r="D3" i="9"/>
  <c r="E3" i="1" l="1"/>
</calcChain>
</file>

<file path=xl/comments1.xml><?xml version="1.0" encoding="utf-8"?>
<comments xmlns="http://schemas.openxmlformats.org/spreadsheetml/2006/main">
  <authors>
    <author>scoz</author>
  </authors>
  <commentList>
    <comment ref="L2" authorId="0">
      <text>
        <r>
          <rPr>
            <b/>
            <sz val="9"/>
            <color indexed="81"/>
            <rFont val="Tahoma"/>
            <family val="2"/>
          </rPr>
          <t>scoz: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指定獲得道具清單，可用逗號隔開
填1,5代表創腳時會獲得1跟5這兩個道具</t>
        </r>
      </text>
    </comment>
  </commentList>
</comments>
</file>

<file path=xl/comments2.xml><?xml version="1.0" encoding="utf-8"?>
<comments xmlns="http://schemas.openxmlformats.org/spreadsheetml/2006/main">
  <authors>
    <author>scoz</author>
  </authors>
  <commentList>
    <comment ref="F2" authorId="0">
      <text>
        <r>
          <rPr>
            <b/>
            <sz val="9"/>
            <color indexed="81"/>
            <rFont val="Tahoma"/>
            <family val="2"/>
          </rPr>
          <t>scoz: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沒填就是</t>
        </r>
        <r>
          <rPr>
            <sz val="9"/>
            <color indexed="81"/>
            <rFont val="Tahoma"/>
            <family val="2"/>
          </rPr>
          <t>100%</t>
        </r>
        <r>
          <rPr>
            <sz val="9"/>
            <color indexed="81"/>
            <rFont val="細明體"/>
            <family val="3"/>
            <charset val="136"/>
          </rPr>
          <t>觸發</t>
        </r>
      </text>
    </comment>
  </commentList>
</comments>
</file>

<file path=xl/sharedStrings.xml><?xml version="1.0" encoding="utf-8"?>
<sst xmlns="http://schemas.openxmlformats.org/spreadsheetml/2006/main" count="282" uniqueCount="203">
  <si>
    <t>End</t>
    <phoneticPr fontId="1" type="noConversion"/>
  </si>
  <si>
    <t>物理傷害</t>
  </si>
  <si>
    <t>魔法傷害</t>
  </si>
  <si>
    <t>物理防禦</t>
  </si>
  <si>
    <t>魔法防禦</t>
  </si>
  <si>
    <t>魔力</t>
  </si>
  <si>
    <t>物理穿透</t>
  </si>
  <si>
    <t>魔法穿透</t>
  </si>
  <si>
    <t>爆擊機率</t>
  </si>
  <si>
    <t>攻擊範圍(顯示用)</t>
  </si>
  <si>
    <t>每五秒回血</t>
  </si>
  <si>
    <t>每五秒回魔</t>
  </si>
  <si>
    <t>顯示角色推薦職業</t>
    <phoneticPr fontId="1" type="noConversion"/>
  </si>
  <si>
    <t>1.坦克</t>
    <phoneticPr fontId="1" type="noConversion"/>
  </si>
  <si>
    <t>2.鬥士</t>
    <phoneticPr fontId="1" type="noConversion"/>
  </si>
  <si>
    <t>3.輔助</t>
    <phoneticPr fontId="1" type="noConversion"/>
  </si>
  <si>
    <t>4.射手</t>
    <phoneticPr fontId="1" type="noConversion"/>
  </si>
  <si>
    <t>5.刺客</t>
    <phoneticPr fontId="1" type="noConversion"/>
  </si>
  <si>
    <t>6.打野</t>
    <phoneticPr fontId="1" type="noConversion"/>
  </si>
  <si>
    <t>7.法師</t>
    <phoneticPr fontId="1" type="noConversion"/>
  </si>
  <si>
    <t>8.近戰</t>
    <phoneticPr fontId="1" type="noConversion"/>
  </si>
  <si>
    <t>9.遠程</t>
    <phoneticPr fontId="1" type="noConversion"/>
  </si>
  <si>
    <t>string</t>
    <phoneticPr fontId="1" type="noConversion"/>
  </si>
  <si>
    <t>characteristic_1</t>
  </si>
  <si>
    <t>characteristic_2</t>
  </si>
  <si>
    <t>Tenacity</t>
  </si>
  <si>
    <t>Range</t>
  </si>
  <si>
    <t>爆擊倍率</t>
  </si>
  <si>
    <t>HP</t>
  </si>
  <si>
    <t>ATK</t>
  </si>
  <si>
    <t>M_ATK</t>
  </si>
  <si>
    <t>DEF</t>
  </si>
  <si>
    <t>M_DEF</t>
  </si>
  <si>
    <t>MP</t>
  </si>
  <si>
    <t>ATK_SPD</t>
  </si>
  <si>
    <t>普攻吸血</t>
  </si>
  <si>
    <t>普攻吸魔</t>
  </si>
  <si>
    <t>生命</t>
  </si>
  <si>
    <t>跑速</t>
  </si>
  <si>
    <t>攻速</t>
  </si>
  <si>
    <t>韌性</t>
  </si>
  <si>
    <t>Crit_Chance</t>
  </si>
  <si>
    <t>Crit_Damage</t>
  </si>
  <si>
    <t>Pearce</t>
  </si>
  <si>
    <t>M_Pearce</t>
  </si>
  <si>
    <t>Move_Speed</t>
  </si>
  <si>
    <t>Life_Steal</t>
  </si>
  <si>
    <t>Mana_Steal</t>
  </si>
  <si>
    <t>Health_Regen</t>
  </si>
  <si>
    <t>Mana_Regen</t>
  </si>
  <si>
    <t>角色特性1</t>
  </si>
  <si>
    <t>角色特性2</t>
  </si>
  <si>
    <t>顯示[角色LV1生命,角色LvMax生命]，由程式自動抓值</t>
  </si>
  <si>
    <t>顯示[角色LV1物理傷害,角色LvMax物理傷害]，由程式自動抓值</t>
  </si>
  <si>
    <t>顯示[角色LV1魔法傷害,角色LvMax魔法傷害]，由程式自動抓值</t>
  </si>
  <si>
    <t>顯示[角色LV1物理防禦,角色LvMax物理防禦]，由程式自動抓值</t>
  </si>
  <si>
    <t>顯示[角色LV1魔法防禦,角色LvMax魔法防禦]，由程式自動抓值</t>
  </si>
  <si>
    <t>顯示[角色LV1魔力,角色LvMaxMP]，由程式自動抓值</t>
  </si>
  <si>
    <t>顯示[角色LV1基礎跑速,角色LvMax基礎跑速]，由程式自動抓值</t>
  </si>
  <si>
    <t>顯示[角色LV1基礎攻速,角色LvMax基礎攻速]，由程式自動抓值</t>
  </si>
  <si>
    <t>顯示[角色LV1物理穿透,角色LvMax物理穿透]，由程式自動抓值</t>
  </si>
  <si>
    <t>顯示[角色LV1物理吸血,角色LvMax物理吸血]，由程式自動抓值</t>
  </si>
  <si>
    <t>顯示[角色LV1魔法穿透,角色LvMax魔法穿透]，由程式自動抓值</t>
  </si>
  <si>
    <t>顯示[角色LV1魔法吸血,角色LvMax魔法吸血]，由程式自動抓值</t>
  </si>
  <si>
    <t>顯示[角色LV1爆擊機率,角色LvMax爆擊機率]，由程式自動抓值</t>
  </si>
  <si>
    <t>顯示[角色LV1爆擊效果,角色LvMax爆擊效果]，由程式自動抓值</t>
  </si>
  <si>
    <t>顯示[角色LV1攻擊範圍,角色LvMax攻擊範圍]，由程式自動抓值</t>
  </si>
  <si>
    <t>顯示[角色LV1基礎韌性,角色LvMax韌性]，由程式自動抓值</t>
  </si>
  <si>
    <t>顯示[角色LV1生命回復,角色LvMax生命回復]，由程式自動抓值</t>
  </si>
  <si>
    <t>顯示[角色LV1魔力回復,角色LvMax魔力回復]，由程式自動抓值</t>
  </si>
  <si>
    <t>表格基本規則</t>
    <phoneticPr fontId="1" type="noConversion"/>
  </si>
  <si>
    <r>
      <t>※第一欄</t>
    </r>
    <r>
      <rPr>
        <b/>
        <sz val="12"/>
        <color rgb="FFFF0000"/>
        <rFont val="新細明體"/>
        <family val="1"/>
        <charset val="136"/>
        <scheme val="minor"/>
      </rPr>
      <t>輸出Json位置在Setting中設定</t>
    </r>
    <phoneticPr fontId="1" type="noConversion"/>
  </si>
  <si>
    <r>
      <t>※輸出的</t>
    </r>
    <r>
      <rPr>
        <b/>
        <sz val="12"/>
        <color rgb="FFFF0000"/>
        <rFont val="新細明體"/>
        <family val="1"/>
        <charset val="136"/>
        <scheme val="minor"/>
      </rPr>
      <t>Json檔名是抓取所在頁籤的名稱</t>
    </r>
    <phoneticPr fontId="1" type="noConversion"/>
  </si>
  <si>
    <r>
      <t>※第一欄</t>
    </r>
    <r>
      <rPr>
        <b/>
        <sz val="12"/>
        <color rgb="FFFF0000"/>
        <rFont val="新細明體"/>
        <family val="1"/>
        <charset val="136"/>
        <scheme val="minor"/>
      </rPr>
      <t>ID為空時該列不會寫入</t>
    </r>
    <phoneticPr fontId="1" type="noConversion"/>
  </si>
  <si>
    <r>
      <t xml:space="preserve">※第一列的資料名稱若 </t>
    </r>
    <r>
      <rPr>
        <b/>
        <sz val="12"/>
        <color rgb="FFFF0000"/>
        <rFont val="新細明體"/>
        <family val="1"/>
        <charset val="136"/>
        <scheme val="minor"/>
      </rPr>
      <t>以底線結尾，該筆資料不會寫入</t>
    </r>
    <phoneticPr fontId="1" type="noConversion"/>
  </si>
  <si>
    <r>
      <t>※第一欄</t>
    </r>
    <r>
      <rPr>
        <b/>
        <sz val="12"/>
        <color rgb="FFFF0000"/>
        <rFont val="新細明體"/>
        <family val="1"/>
        <charset val="136"/>
        <scheme val="minor"/>
      </rPr>
      <t>End之後的資料不會寫入</t>
    </r>
    <phoneticPr fontId="1" type="noConversion"/>
  </si>
  <si>
    <t>說明</t>
    <phoneticPr fontId="1" type="noConversion"/>
  </si>
  <si>
    <t>編號</t>
    <phoneticPr fontId="1" type="noConversion"/>
  </si>
  <si>
    <t>輸出Json</t>
  </si>
  <si>
    <t>說明</t>
    <phoneticPr fontId="1" type="noConversion"/>
  </si>
  <si>
    <t>名稱</t>
    <phoneticPr fontId="1" type="noConversion"/>
  </si>
  <si>
    <t>品階</t>
    <phoneticPr fontId="1" type="noConversion"/>
  </si>
  <si>
    <t>參考圖示</t>
    <phoneticPr fontId="1" type="noConversion"/>
  </si>
  <si>
    <t>OI501_ArcadeGame</t>
  </si>
  <si>
    <t>OI502_CatFountain</t>
  </si>
  <si>
    <t>OI503_Painting_Etgm</t>
  </si>
  <si>
    <t>OI504_Fireplace</t>
  </si>
  <si>
    <t>OI505_TeddyBear</t>
  </si>
  <si>
    <t>OI506_Jeep</t>
  </si>
  <si>
    <t>OI507_Billboard_Nh</t>
  </si>
  <si>
    <t>OI508_Billboard_Ukcl</t>
  </si>
  <si>
    <t>OI509_SamuraiArmor</t>
  </si>
  <si>
    <t>OI510_LanternWall</t>
  </si>
  <si>
    <t>OI511_RamenCar</t>
  </si>
  <si>
    <t>OI512_JapaneseStove</t>
  </si>
  <si>
    <t>OI513_JapanScreen</t>
  </si>
  <si>
    <t>OI514_Billboard_Bukc</t>
    <phoneticPr fontId="1" type="noConversion"/>
  </si>
  <si>
    <t>OI515_Cabinet</t>
  </si>
  <si>
    <t>OI516_UmbrellaTable</t>
  </si>
  <si>
    <t>OI517_Refrigerator</t>
  </si>
  <si>
    <t>OI518_Refrigerator_Red</t>
  </si>
  <si>
    <t>OI519_BraveTroops</t>
  </si>
  <si>
    <t>OI520_MoneyTree</t>
  </si>
  <si>
    <t>OI521_TreasureBowl</t>
  </si>
  <si>
    <t>OI522_MoneyTurtle</t>
  </si>
  <si>
    <t>OI523_Amethyst</t>
  </si>
  <si>
    <t>OI524_JadeCabbage</t>
  </si>
  <si>
    <t>OI525_Billboard_Bl</t>
    <phoneticPr fontId="1" type="noConversion"/>
  </si>
  <si>
    <t>OI526_billboard_Blbb</t>
  </si>
  <si>
    <t>OI527_BigSword</t>
  </si>
  <si>
    <t>OI528_ComputerDesk</t>
  </si>
  <si>
    <t>OI529_WesternArmor</t>
  </si>
  <si>
    <t>OI530_WesternGun</t>
  </si>
  <si>
    <t>OI531_DinosaurBones</t>
  </si>
  <si>
    <t>OI532_InflatablePool</t>
  </si>
  <si>
    <t>OI533_Bouncers</t>
  </si>
  <si>
    <t>OI534_WoodenBox</t>
  </si>
  <si>
    <t>OI537_FamousPainting</t>
  </si>
  <si>
    <t>OI538_Post</t>
  </si>
  <si>
    <t>OI539_VinylRecords</t>
  </si>
  <si>
    <t>OI540_Crown</t>
  </si>
  <si>
    <t>OI41_Bed</t>
  </si>
  <si>
    <t>OI42_MahjongTable</t>
  </si>
  <si>
    <t>ID</t>
    <phoneticPr fontId="1" type="noConversion"/>
  </si>
  <si>
    <t>Name_</t>
    <phoneticPr fontId="1" type="noConversion"/>
  </si>
  <si>
    <t>Ref</t>
    <phoneticPr fontId="1" type="noConversion"/>
  </si>
  <si>
    <t>Description_</t>
    <phoneticPr fontId="1" type="noConversion"/>
  </si>
  <si>
    <t>說明</t>
    <phoneticPr fontId="1" type="noConversion"/>
  </si>
  <si>
    <t>理智</t>
    <phoneticPr fontId="1" type="noConversion"/>
  </si>
  <si>
    <t>生命</t>
    <phoneticPr fontId="1" type="noConversion"/>
  </si>
  <si>
    <t>\thedoor\Assets\AddressableAssets\Json\</t>
  </si>
  <si>
    <t>\thedoor_cf\functions\GameData\</t>
    <phoneticPr fontId="1" type="noConversion"/>
  </si>
  <si>
    <t>研究生</t>
  </si>
  <si>
    <t>Requirement</t>
    <phoneticPr fontId="1" type="noConversion"/>
  </si>
  <si>
    <t>解鎖需求</t>
    <phoneticPr fontId="1" type="noConversion"/>
  </si>
  <si>
    <t>Requirement</t>
    <phoneticPr fontId="1" type="noConversion"/>
  </si>
  <si>
    <t>Gold</t>
    <phoneticPr fontId="1" type="noConversion"/>
  </si>
  <si>
    <t>需求遊戲幣{0}
RequirementValue填100代表需求遊戲幣100</t>
    <phoneticPr fontId="1" type="noConversion"/>
  </si>
  <si>
    <t>Point</t>
    <phoneticPr fontId="1" type="noConversion"/>
  </si>
  <si>
    <t>小女孩</t>
    <phoneticPr fontId="1" type="noConversion"/>
  </si>
  <si>
    <t>解鎖需求參數</t>
    <phoneticPr fontId="1" type="noConversion"/>
  </si>
  <si>
    <t>腳色專屬劇本</t>
    <phoneticPr fontId="1" type="noConversion"/>
  </si>
  <si>
    <t>Rank</t>
    <phoneticPr fontId="1" type="noConversion"/>
  </si>
  <si>
    <t>RequireValue</t>
    <phoneticPr fontId="1" type="noConversion"/>
  </si>
  <si>
    <t>Gold</t>
  </si>
  <si>
    <t>ExclusiveScripts</t>
    <phoneticPr fontId="1" type="noConversion"/>
  </si>
  <si>
    <t>在某所大學裡，一位研究生意外地在一具死狀悽慘的屍體身上發現了一些神秘遺物。
然而，這位研究生並未意識到這件遺物將為他帶來詛咒與災難。
在那之後，他發現自己被一個可怕的詛咒纏上，使他不定時地被吸入恐怖空間。
在地獄中，處處可以發現一種外型奇特的染血鐘錶，他懷疑這恐怖的鐘錶暗示著某種秘密。
為了回到現實，他必須在那掙扎生存，打開一道又一道門後才來能回到現實。</t>
    <phoneticPr fontId="1" type="noConversion"/>
  </si>
  <si>
    <t>「這個瘋狂的地方是怎麼回事?」
「這道門後又有什麼可怕的的東西?」
「這個鐘錶指針又代表著什麼?」
數個疑問浮現在他腦海中，但現在最緊迫的問題是
「該怎麼活下去?」</t>
    <phoneticPr fontId="1" type="noConversion"/>
  </si>
  <si>
    <t>腳色ID</t>
    <phoneticPr fontId="1" type="noConversion"/>
  </si>
  <si>
    <t>RoleID</t>
    <phoneticPr fontId="1" type="noConversion"/>
  </si>
  <si>
    <t>能力</t>
    <phoneticPr fontId="1" type="noConversion"/>
  </si>
  <si>
    <t>ID</t>
    <phoneticPr fontId="1" type="noConversion"/>
  </si>
  <si>
    <t>Name_</t>
    <phoneticPr fontId="1" type="noConversion"/>
  </si>
  <si>
    <t>Description_</t>
    <phoneticPr fontId="1" type="noConversion"/>
  </si>
  <si>
    <t>Probability</t>
    <phoneticPr fontId="1" type="noConversion"/>
  </si>
  <si>
    <t>編號</t>
    <phoneticPr fontId="1" type="noConversion"/>
  </si>
  <si>
    <t>名稱</t>
    <phoneticPr fontId="1" type="noConversion"/>
  </si>
  <si>
    <t>說明</t>
    <phoneticPr fontId="1" type="noConversion"/>
  </si>
  <si>
    <t>觸發機率</t>
    <phoneticPr fontId="1" type="noConversion"/>
  </si>
  <si>
    <t>2</t>
    <phoneticPr fontId="1" type="noConversion"/>
  </si>
  <si>
    <t>End</t>
    <phoneticPr fontId="1" type="noConversion"/>
  </si>
  <si>
    <t>調查</t>
    <phoneticPr fontId="1" type="noConversion"/>
  </si>
  <si>
    <t>Investigation</t>
  </si>
  <si>
    <t>HideAndSeek</t>
  </si>
  <si>
    <t>躲貓貓</t>
    <phoneticPr fontId="1" type="noConversion"/>
  </si>
  <si>
    <t>敵方第一次攻擊時間延長</t>
    <phoneticPr fontId="1" type="noConversion"/>
  </si>
  <si>
    <t>CombatInstinct</t>
  </si>
  <si>
    <t>CombatInstinct</t>
    <phoneticPr fontId="1" type="noConversion"/>
  </si>
  <si>
    <t>作戰本能</t>
    <phoneticPr fontId="1" type="noConversion"/>
  </si>
  <si>
    <t>數值1</t>
    <phoneticPr fontId="1" type="noConversion"/>
  </si>
  <si>
    <t>Value1</t>
    <phoneticPr fontId="1" type="noConversion"/>
  </si>
  <si>
    <t>Value2</t>
  </si>
  <si>
    <t>Value3</t>
  </si>
  <si>
    <t>Value4</t>
  </si>
  <si>
    <t>Value5</t>
  </si>
  <si>
    <t>數值2</t>
  </si>
  <si>
    <t>數值3</t>
  </si>
  <si>
    <t>數值4</t>
  </si>
  <si>
    <t>數值5</t>
  </si>
  <si>
    <t>3</t>
    <phoneticPr fontId="1" type="noConversion"/>
  </si>
  <si>
    <t>1</t>
    <phoneticPr fontId="1" type="noConversion"/>
  </si>
  <si>
    <t>軍人</t>
    <phoneticPr fontId="1" type="noConversion"/>
  </si>
  <si>
    <t>輸出Enum</t>
    <phoneticPr fontId="1" type="noConversion"/>
  </si>
  <si>
    <t>\thedoor\Assets\Scripts\Enum\</t>
    <phoneticPr fontId="1" type="noConversion"/>
  </si>
  <si>
    <t>Note_</t>
    <phoneticPr fontId="1" type="noConversion"/>
  </si>
  <si>
    <t>備註</t>
    <phoneticPr fontId="1" type="noConversion"/>
  </si>
  <si>
    <t>調查: 預知下三道門的類型</t>
    <phoneticPr fontId="1" type="noConversion"/>
  </si>
  <si>
    <t>傷害+1</t>
    <phoneticPr fontId="1" type="noConversion"/>
  </si>
  <si>
    <t>Value1: 回和數</t>
    <phoneticPr fontId="1" type="noConversion"/>
  </si>
  <si>
    <t>Value1: 下x道門</t>
    <phoneticPr fontId="1" type="noConversion"/>
  </si>
  <si>
    <t>Value1: 增加x傷害</t>
    <phoneticPr fontId="1" type="noConversion"/>
  </si>
  <si>
    <t>參考</t>
    <phoneticPr fontId="1" type="noConversion"/>
  </si>
  <si>
    <t>HP</t>
    <phoneticPr fontId="1" type="noConversion"/>
  </si>
  <si>
    <t>SanP</t>
    <phoneticPr fontId="1" type="noConversion"/>
  </si>
  <si>
    <t>TalentType</t>
    <phoneticPr fontId="1" type="noConversion"/>
  </si>
  <si>
    <t>HideAndSeek</t>
    <phoneticPr fontId="1" type="noConversion"/>
  </si>
  <si>
    <t>Investigation</t>
    <phoneticPr fontId="1" type="noConversion"/>
  </si>
  <si>
    <t>指定道具</t>
    <phoneticPr fontId="1" type="noConversion"/>
  </si>
  <si>
    <t>Supplies</t>
    <phoneticPr fontId="1" type="noConversion"/>
  </si>
  <si>
    <t>Talent</t>
    <phoneticPr fontId="1" type="noConversion"/>
  </si>
  <si>
    <t>肉搏</t>
    <phoneticPr fontId="1" type="noConversion"/>
  </si>
  <si>
    <t>10001,10002</t>
    <phoneticPr fontId="1" type="noConversion"/>
  </si>
  <si>
    <t>Melees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</si>
</sst>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7">
    <font>
      <sz val="11"/>
      <color theme="1"/>
      <name val="新細明體"/>
      <family val="2"/>
      <scheme val="minor"/>
    </font>
    <font>
      <sz val="9"/>
      <name val="新細明體"/>
      <family val="3"/>
      <charset val="136"/>
      <scheme val="minor"/>
    </font>
    <font>
      <b/>
      <sz val="11"/>
      <color theme="0"/>
      <name val="新細明體"/>
      <family val="1"/>
      <charset val="136"/>
      <scheme val="minor"/>
    </font>
    <font>
      <b/>
      <sz val="11"/>
      <color theme="1"/>
      <name val="新細明體"/>
      <family val="1"/>
      <charset val="136"/>
      <scheme val="minor"/>
    </font>
    <font>
      <b/>
      <sz val="12"/>
      <color theme="0"/>
      <name val="新細明體"/>
      <family val="1"/>
      <charset val="136"/>
      <scheme val="minor"/>
    </font>
    <font>
      <sz val="12"/>
      <color theme="0"/>
      <name val="新細明體"/>
      <family val="2"/>
      <scheme val="minor"/>
    </font>
    <font>
      <sz val="12"/>
      <name val="新細明體"/>
      <family val="1"/>
      <charset val="136"/>
      <scheme val="minor"/>
    </font>
    <font>
      <b/>
      <sz val="12"/>
      <color rgb="FFFF0000"/>
      <name val="新細明體"/>
      <family val="1"/>
      <charset val="136"/>
      <scheme val="minor"/>
    </font>
    <font>
      <sz val="11"/>
      <color theme="2" tint="-0.249977111117893"/>
      <name val="新細明體"/>
      <family val="2"/>
      <scheme val="minor"/>
    </font>
    <font>
      <sz val="11"/>
      <color theme="1"/>
      <name val="新細明體"/>
      <family val="2"/>
      <scheme val="minor"/>
    </font>
    <font>
      <sz val="12"/>
      <color indexed="8"/>
      <name val="新細明體"/>
      <family val="1"/>
      <charset val="128"/>
    </font>
    <font>
      <b/>
      <sz val="11"/>
      <color theme="0"/>
      <name val="新細明體"/>
      <family val="1"/>
      <charset val="136"/>
    </font>
    <font>
      <sz val="11"/>
      <color theme="1"/>
      <name val="新細明體"/>
      <family val="1"/>
      <charset val="136"/>
    </font>
    <font>
      <b/>
      <sz val="11"/>
      <color theme="1"/>
      <name val="新細明體"/>
      <family val="1"/>
      <charset val="136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9"/>
      <color indexed="81"/>
      <name val="細明體"/>
      <family val="3"/>
      <charset val="136"/>
    </font>
  </fonts>
  <fills count="4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1" tint="0.249977111117893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0" fontId="9" fillId="0" borderId="0"/>
    <xf numFmtId="0" fontId="10" fillId="0" borderId="0">
      <alignment vertical="center"/>
    </xf>
  </cellStyleXfs>
  <cellXfs count="21">
    <xf numFmtId="0" fontId="0" fillId="0" borderId="0" xfId="0"/>
    <xf numFmtId="0" fontId="3" fillId="0" borderId="0" xfId="0" applyFont="1"/>
    <xf numFmtId="0" fontId="4" fillId="2" borderId="0" xfId="0" applyFont="1" applyFill="1"/>
    <xf numFmtId="0" fontId="5" fillId="2" borderId="0" xfId="0" applyFont="1" applyFill="1"/>
    <xf numFmtId="0" fontId="6" fillId="0" borderId="0" xfId="0" applyFont="1"/>
    <xf numFmtId="0" fontId="8" fillId="3" borderId="0" xfId="0" applyFont="1" applyFill="1"/>
    <xf numFmtId="0" fontId="0" fillId="0" borderId="0" xfId="0" applyAlignment="1">
      <alignment wrapText="1"/>
    </xf>
    <xf numFmtId="0" fontId="3" fillId="0" borderId="0" xfId="1" applyFont="1"/>
    <xf numFmtId="0" fontId="0" fillId="0" borderId="0" xfId="1" applyFont="1"/>
    <xf numFmtId="0" fontId="11" fillId="2" borderId="0" xfId="0" applyFont="1" applyFill="1" applyAlignment="1">
      <alignment horizontal="center" vertical="center"/>
    </xf>
    <xf numFmtId="0" fontId="12" fillId="0" borderId="0" xfId="0" applyFont="1" applyAlignment="1">
      <alignment horizontal="center" vertical="center"/>
    </xf>
    <xf numFmtId="0" fontId="13" fillId="0" borderId="0" xfId="0" applyFont="1" applyAlignment="1">
      <alignment horizontal="center" vertical="center"/>
    </xf>
    <xf numFmtId="0" fontId="2" fillId="2" borderId="0" xfId="0" applyFont="1" applyFill="1" applyAlignment="1">
      <alignment horizontal="center" vertical="center"/>
    </xf>
    <xf numFmtId="0" fontId="0" fillId="0" borderId="0" xfId="0" applyAlignment="1">
      <alignment horizontal="center" vertical="center"/>
    </xf>
    <xf numFmtId="0" fontId="2" fillId="2" borderId="0" xfId="0" applyFont="1" applyFill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0" fillId="0" borderId="0" xfId="0" applyAlignment="1">
      <alignment horizontal="left" vertical="center" wrapText="1"/>
    </xf>
    <xf numFmtId="9" fontId="11" fillId="2" borderId="0" xfId="0" applyNumberFormat="1" applyFont="1" applyFill="1" applyAlignment="1">
      <alignment horizontal="center" vertical="center"/>
    </xf>
    <xf numFmtId="49" fontId="11" fillId="2" borderId="0" xfId="0" applyNumberFormat="1" applyFont="1" applyFill="1" applyAlignment="1">
      <alignment horizontal="center" vertical="center"/>
    </xf>
    <xf numFmtId="9" fontId="12" fillId="0" borderId="0" xfId="0" applyNumberFormat="1" applyFont="1" applyAlignment="1">
      <alignment horizontal="center" vertical="center"/>
    </xf>
    <xf numFmtId="49" fontId="12" fillId="0" borderId="0" xfId="0" applyNumberFormat="1" applyFont="1" applyAlignment="1">
      <alignment horizontal="center" vertical="center"/>
    </xf>
  </cellXfs>
  <cellStyles count="3">
    <cellStyle name="Excel Built-in Normal" xfId="2"/>
    <cellStyle name="一般" xfId="0" builtinId="0"/>
    <cellStyle name="一般 2" xfId="1"/>
  </cellStyles>
  <dxfs count="2">
    <dxf>
      <fill>
        <patternFill>
          <bgColor rgb="FFFFC000"/>
        </patternFill>
      </fill>
    </dxf>
    <dxf>
      <fill>
        <patternFill>
          <bgColor rgb="FFFFC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"/>
  <dimension ref="A1:M196"/>
  <sheetViews>
    <sheetView tabSelected="1" zoomScale="115" zoomScaleNormal="115" workbookViewId="0">
      <pane xSplit="1" ySplit="2" topLeftCell="B3" activePane="bottomRight" state="frozen"/>
      <selection pane="topRight" activeCell="B1" sqref="B1"/>
      <selection pane="bottomLeft" activeCell="A3" sqref="A3"/>
      <selection pane="bottomRight" activeCell="K3" sqref="K3"/>
    </sheetView>
  </sheetViews>
  <sheetFormatPr defaultColWidth="7.5703125" defaultRowHeight="15.75"/>
  <cols>
    <col min="1" max="1" width="7.5703125" style="10"/>
    <col min="2" max="2" width="15.85546875" style="10" customWidth="1"/>
    <col min="3" max="3" width="23.7109375" style="10" customWidth="1"/>
    <col min="4" max="4" width="7.5703125" style="13"/>
    <col min="5" max="5" width="11.5703125" style="15" customWidth="1"/>
    <col min="6" max="7" width="7.5703125" style="10" customWidth="1"/>
    <col min="8" max="8" width="14.7109375" style="20" customWidth="1"/>
    <col min="9" max="9" width="14.140625" style="10" customWidth="1"/>
    <col min="10" max="10" width="13.85546875" style="10" customWidth="1"/>
    <col min="11" max="11" width="14.42578125" style="10" customWidth="1"/>
    <col min="12" max="12" width="11.140625" style="10" customWidth="1"/>
    <col min="13" max="13" width="16.140625" style="10" customWidth="1"/>
    <col min="14" max="16384" width="7.5703125" style="10"/>
  </cols>
  <sheetData>
    <row r="1" spans="1:13" s="9" customFormat="1">
      <c r="A1" s="9" t="s">
        <v>123</v>
      </c>
      <c r="B1" s="9" t="s">
        <v>124</v>
      </c>
      <c r="C1" s="9" t="s">
        <v>126</v>
      </c>
      <c r="D1" s="12" t="s">
        <v>142</v>
      </c>
      <c r="E1" s="14" t="s">
        <v>125</v>
      </c>
      <c r="F1" s="9" t="s">
        <v>192</v>
      </c>
      <c r="G1" s="9" t="s">
        <v>193</v>
      </c>
      <c r="H1" s="18" t="s">
        <v>202</v>
      </c>
      <c r="I1" s="9" t="s">
        <v>199</v>
      </c>
      <c r="J1" s="9" t="s">
        <v>133</v>
      </c>
      <c r="K1" s="9" t="s">
        <v>143</v>
      </c>
      <c r="L1" s="9" t="s">
        <v>198</v>
      </c>
      <c r="M1" s="9" t="s">
        <v>145</v>
      </c>
    </row>
    <row r="2" spans="1:13" s="9" customFormat="1" ht="15" customHeight="1">
      <c r="A2" s="9" t="s">
        <v>77</v>
      </c>
      <c r="B2" s="9" t="s">
        <v>80</v>
      </c>
      <c r="C2" s="9" t="s">
        <v>127</v>
      </c>
      <c r="D2" s="12" t="s">
        <v>81</v>
      </c>
      <c r="E2" s="14" t="s">
        <v>191</v>
      </c>
      <c r="F2" s="9" t="s">
        <v>129</v>
      </c>
      <c r="G2" s="9" t="s">
        <v>128</v>
      </c>
      <c r="H2" s="18" t="s">
        <v>200</v>
      </c>
      <c r="I2" s="9" t="s">
        <v>150</v>
      </c>
      <c r="J2" s="9" t="s">
        <v>134</v>
      </c>
      <c r="K2" s="9" t="s">
        <v>140</v>
      </c>
      <c r="L2" s="9" t="s">
        <v>197</v>
      </c>
      <c r="M2" s="9" t="s">
        <v>141</v>
      </c>
    </row>
    <row r="3" spans="1:13">
      <c r="A3" s="10">
        <v>1</v>
      </c>
      <c r="B3" s="13" t="s">
        <v>132</v>
      </c>
      <c r="C3" s="16"/>
      <c r="D3" s="13">
        <v>1</v>
      </c>
      <c r="E3" s="10" t="str">
        <f>"role"&amp;A3</f>
        <v>role1</v>
      </c>
      <c r="F3" s="10">
        <v>100</v>
      </c>
      <c r="G3" s="10">
        <v>60</v>
      </c>
      <c r="H3" s="20" t="s">
        <v>201</v>
      </c>
      <c r="I3" s="10" t="s">
        <v>162</v>
      </c>
      <c r="L3" s="10">
        <v>2</v>
      </c>
    </row>
    <row r="4" spans="1:13">
      <c r="B4" s="13" t="s">
        <v>181</v>
      </c>
      <c r="C4" s="16"/>
      <c r="D4" s="13">
        <v>1</v>
      </c>
      <c r="E4" s="10" t="str">
        <f t="shared" ref="E4:E5" si="0">"role"&amp;A4</f>
        <v>role</v>
      </c>
      <c r="F4" s="10">
        <v>100</v>
      </c>
      <c r="G4" s="10">
        <v>60</v>
      </c>
      <c r="H4" s="20" t="s">
        <v>201</v>
      </c>
      <c r="I4" s="10" t="s">
        <v>166</v>
      </c>
      <c r="J4" s="10" t="s">
        <v>144</v>
      </c>
      <c r="K4" s="10">
        <v>100</v>
      </c>
      <c r="L4" s="10">
        <v>1</v>
      </c>
    </row>
    <row r="5" spans="1:13">
      <c r="B5" s="13" t="s">
        <v>139</v>
      </c>
      <c r="C5" s="16"/>
      <c r="D5" s="13">
        <v>1</v>
      </c>
      <c r="E5" s="10" t="str">
        <f t="shared" si="0"/>
        <v>role</v>
      </c>
      <c r="F5" s="10">
        <v>100</v>
      </c>
      <c r="G5" s="10">
        <v>60</v>
      </c>
      <c r="H5" s="20" t="s">
        <v>201</v>
      </c>
      <c r="I5" s="10" t="s">
        <v>195</v>
      </c>
      <c r="J5" s="10" t="s">
        <v>144</v>
      </c>
      <c r="K5" s="10">
        <v>100</v>
      </c>
      <c r="L5" s="10">
        <v>1</v>
      </c>
    </row>
    <row r="6" spans="1:13">
      <c r="B6" s="13"/>
      <c r="C6" s="16"/>
      <c r="E6" s="10"/>
    </row>
    <row r="7" spans="1:13">
      <c r="B7" s="13"/>
      <c r="C7" s="16"/>
      <c r="E7" s="10"/>
    </row>
    <row r="8" spans="1:13">
      <c r="B8" s="13"/>
      <c r="C8" s="16"/>
      <c r="E8" s="10"/>
    </row>
    <row r="9" spans="1:13">
      <c r="B9" s="13"/>
      <c r="C9" s="16"/>
      <c r="E9" s="10"/>
    </row>
    <row r="10" spans="1:13">
      <c r="C10" s="16"/>
      <c r="E10" s="10"/>
    </row>
    <row r="11" spans="1:13">
      <c r="C11" s="16"/>
      <c r="E11" s="10"/>
    </row>
    <row r="13" spans="1:13">
      <c r="A13" s="11" t="s">
        <v>0</v>
      </c>
    </row>
    <row r="157" spans="4:5" ht="31.5">
      <c r="D157" s="10"/>
      <c r="E157" s="15" t="s">
        <v>83</v>
      </c>
    </row>
    <row r="158" spans="4:5" ht="31.5">
      <c r="D158" s="10"/>
      <c r="E158" s="15" t="s">
        <v>84</v>
      </c>
    </row>
    <row r="159" spans="4:5" ht="31.5">
      <c r="D159" s="10"/>
      <c r="E159" s="15" t="s">
        <v>85</v>
      </c>
    </row>
    <row r="160" spans="4:5" ht="31.5">
      <c r="D160" s="10"/>
      <c r="E160" s="15" t="s">
        <v>86</v>
      </c>
    </row>
    <row r="161" spans="4:5" ht="31.5">
      <c r="D161" s="10"/>
      <c r="E161" s="15" t="s">
        <v>87</v>
      </c>
    </row>
    <row r="162" spans="4:5">
      <c r="D162" s="10"/>
      <c r="E162" s="15" t="s">
        <v>88</v>
      </c>
    </row>
    <row r="163" spans="4:5" ht="31.5">
      <c r="D163" s="10"/>
      <c r="E163" s="15" t="s">
        <v>89</v>
      </c>
    </row>
    <row r="164" spans="4:5" ht="31.5">
      <c r="D164" s="10"/>
      <c r="E164" s="15" t="s">
        <v>90</v>
      </c>
    </row>
    <row r="165" spans="4:5" ht="31.5">
      <c r="D165" s="10"/>
      <c r="E165" s="15" t="s">
        <v>91</v>
      </c>
    </row>
    <row r="166" spans="4:5" ht="31.5">
      <c r="D166" s="10"/>
      <c r="E166" s="15" t="s">
        <v>92</v>
      </c>
    </row>
    <row r="167" spans="4:5" ht="31.5">
      <c r="D167" s="10"/>
      <c r="E167" s="15" t="s">
        <v>93</v>
      </c>
    </row>
    <row r="168" spans="4:5" ht="31.5">
      <c r="D168" s="10"/>
      <c r="E168" s="15" t="s">
        <v>94</v>
      </c>
    </row>
    <row r="169" spans="4:5" ht="31.5">
      <c r="D169" s="10"/>
      <c r="E169" s="15" t="s">
        <v>95</v>
      </c>
    </row>
    <row r="170" spans="4:5" ht="31.5">
      <c r="D170" s="10"/>
      <c r="E170" s="15" t="s">
        <v>96</v>
      </c>
    </row>
    <row r="171" spans="4:5" ht="31.5">
      <c r="D171" s="10"/>
      <c r="E171" s="15" t="s">
        <v>97</v>
      </c>
    </row>
    <row r="172" spans="4:5" ht="31.5">
      <c r="D172" s="10"/>
      <c r="E172" s="15" t="s">
        <v>98</v>
      </c>
    </row>
    <row r="173" spans="4:5" ht="31.5">
      <c r="D173" s="10"/>
      <c r="E173" s="15" t="s">
        <v>99</v>
      </c>
    </row>
    <row r="174" spans="4:5" ht="31.5">
      <c r="D174" s="10"/>
      <c r="E174" s="15" t="s">
        <v>100</v>
      </c>
    </row>
    <row r="175" spans="4:5" ht="31.5">
      <c r="D175" s="10"/>
      <c r="E175" s="15" t="s">
        <v>101</v>
      </c>
    </row>
    <row r="176" spans="4:5" ht="31.5">
      <c r="D176" s="10"/>
      <c r="E176" s="15" t="s">
        <v>102</v>
      </c>
    </row>
    <row r="177" spans="4:5" ht="31.5">
      <c r="D177" s="10"/>
      <c r="E177" s="15" t="s">
        <v>103</v>
      </c>
    </row>
    <row r="178" spans="4:5" ht="31.5">
      <c r="D178" s="10"/>
      <c r="E178" s="15" t="s">
        <v>104</v>
      </c>
    </row>
    <row r="179" spans="4:5" ht="31.5">
      <c r="D179" s="10"/>
      <c r="E179" s="15" t="s">
        <v>105</v>
      </c>
    </row>
    <row r="180" spans="4:5" ht="31.5">
      <c r="D180" s="10"/>
      <c r="E180" s="15" t="s">
        <v>106</v>
      </c>
    </row>
    <row r="181" spans="4:5" ht="31.5">
      <c r="D181" s="10"/>
      <c r="E181" s="15" t="s">
        <v>107</v>
      </c>
    </row>
    <row r="182" spans="4:5" ht="31.5">
      <c r="D182" s="10"/>
      <c r="E182" s="15" t="s">
        <v>108</v>
      </c>
    </row>
    <row r="183" spans="4:5" ht="31.5">
      <c r="D183" s="10"/>
      <c r="E183" s="15" t="s">
        <v>109</v>
      </c>
    </row>
    <row r="184" spans="4:5" ht="31.5">
      <c r="D184" s="10"/>
      <c r="E184" s="15" t="s">
        <v>110</v>
      </c>
    </row>
    <row r="185" spans="4:5" ht="31.5">
      <c r="D185" s="10"/>
      <c r="E185" s="15" t="s">
        <v>111</v>
      </c>
    </row>
    <row r="186" spans="4:5" ht="31.5">
      <c r="D186" s="10"/>
      <c r="E186" s="15" t="s">
        <v>112</v>
      </c>
    </row>
    <row r="187" spans="4:5" ht="31.5">
      <c r="D187" s="10"/>
      <c r="E187" s="15" t="s">
        <v>113</v>
      </c>
    </row>
    <row r="188" spans="4:5" ht="31.5">
      <c r="D188" s="10"/>
      <c r="E188" s="15" t="s">
        <v>114</v>
      </c>
    </row>
    <row r="189" spans="4:5" ht="31.5">
      <c r="D189" s="10"/>
      <c r="E189" s="15" t="s">
        <v>115</v>
      </c>
    </row>
    <row r="190" spans="4:5" ht="31.5">
      <c r="D190" s="10"/>
      <c r="E190" s="15" t="s">
        <v>116</v>
      </c>
    </row>
    <row r="191" spans="4:5" ht="31.5">
      <c r="D191" s="10"/>
      <c r="E191" s="15" t="s">
        <v>117</v>
      </c>
    </row>
    <row r="192" spans="4:5">
      <c r="D192" s="10"/>
      <c r="E192" s="15" t="s">
        <v>118</v>
      </c>
    </row>
    <row r="193" spans="4:5" ht="31.5">
      <c r="D193" s="10"/>
      <c r="E193" s="15" t="s">
        <v>119</v>
      </c>
    </row>
    <row r="194" spans="4:5" ht="31.5">
      <c r="D194" s="10"/>
      <c r="E194" s="15" t="s">
        <v>120</v>
      </c>
    </row>
    <row r="195" spans="4:5">
      <c r="D195" s="10"/>
      <c r="E195" s="15" t="s">
        <v>121</v>
      </c>
    </row>
    <row r="196" spans="4:5" ht="31.5">
      <c r="D196" s="10"/>
      <c r="E196" s="15" t="s">
        <v>122</v>
      </c>
    </row>
  </sheetData>
  <dataConsolidate/>
  <phoneticPr fontId="1" type="noConversion"/>
  <conditionalFormatting sqref="D1">
    <cfRule type="containsBlanks" dxfId="1" priority="2">
      <formula>LEN(TRIM(D1))=0</formula>
    </cfRule>
  </conditionalFormatting>
  <conditionalFormatting sqref="D2">
    <cfRule type="containsBlanks" dxfId="0" priority="1">
      <formula>LEN(TRIM(D2))=0</formula>
    </cfRule>
  </conditionalFormatting>
  <dataValidations count="1">
    <dataValidation type="list" allowBlank="1" showInputMessage="1" showErrorMessage="1" sqref="J1:J1048576">
      <formula1>Requirement</formula1>
    </dataValidation>
  </dataValidations>
  <pageMargins left="0.7" right="0.7" top="0.75" bottom="0.75" header="0.3" footer="0.3"/>
  <pageSetup paperSize="9" orientation="portrait" horizontalDpi="1200" verticalDpi="1200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A1:D196"/>
  <sheetViews>
    <sheetView workbookViewId="0">
      <selection activeCell="B3" sqref="B3"/>
    </sheetView>
  </sheetViews>
  <sheetFormatPr defaultColWidth="7.5703125" defaultRowHeight="15.75"/>
  <cols>
    <col min="1" max="1" width="7.5703125" style="10"/>
    <col min="2" max="2" width="53.5703125" style="10" customWidth="1"/>
    <col min="3" max="3" width="7.5703125" style="10"/>
    <col min="4" max="4" width="11.5703125" style="15" customWidth="1"/>
    <col min="5" max="16384" width="7.5703125" style="10"/>
  </cols>
  <sheetData>
    <row r="1" spans="1:4" s="9" customFormat="1">
      <c r="A1" s="9" t="s">
        <v>123</v>
      </c>
      <c r="B1" s="9" t="s">
        <v>126</v>
      </c>
      <c r="C1" s="9" t="s">
        <v>149</v>
      </c>
      <c r="D1" s="14" t="s">
        <v>125</v>
      </c>
    </row>
    <row r="2" spans="1:4" s="9" customFormat="1" ht="15" customHeight="1">
      <c r="A2" s="9" t="s">
        <v>77</v>
      </c>
      <c r="B2" s="9" t="s">
        <v>127</v>
      </c>
      <c r="C2" s="9" t="s">
        <v>148</v>
      </c>
      <c r="D2" s="14" t="s">
        <v>82</v>
      </c>
    </row>
    <row r="3" spans="1:4" ht="189">
      <c r="A3" s="10">
        <v>1</v>
      </c>
      <c r="B3" s="16" t="s">
        <v>146</v>
      </c>
      <c r="C3" s="10">
        <v>1</v>
      </c>
      <c r="D3" s="10" t="str">
        <f>"rolePlot"&amp;C3&amp;"-"&amp;A3</f>
        <v>rolePlot1-1</v>
      </c>
    </row>
    <row r="4" spans="1:4" ht="94.5">
      <c r="A4" s="10">
        <v>2</v>
      </c>
      <c r="B4" s="16" t="s">
        <v>147</v>
      </c>
      <c r="C4" s="10">
        <v>1</v>
      </c>
      <c r="D4" s="10" t="str">
        <f>"rolePlot"&amp;C4&amp;"-"&amp;A4</f>
        <v>rolePlot1-2</v>
      </c>
    </row>
    <row r="5" spans="1:4">
      <c r="B5" s="16"/>
      <c r="D5" s="10"/>
    </row>
    <row r="6" spans="1:4">
      <c r="B6" s="16"/>
      <c r="D6" s="10"/>
    </row>
    <row r="7" spans="1:4">
      <c r="B7" s="16"/>
      <c r="D7" s="10"/>
    </row>
    <row r="8" spans="1:4">
      <c r="B8" s="16"/>
      <c r="D8" s="10"/>
    </row>
    <row r="9" spans="1:4">
      <c r="B9" s="16"/>
      <c r="D9" s="10"/>
    </row>
    <row r="10" spans="1:4">
      <c r="B10" s="16"/>
      <c r="D10" s="10"/>
    </row>
    <row r="11" spans="1:4">
      <c r="B11" s="16"/>
      <c r="D11" s="10"/>
    </row>
    <row r="13" spans="1:4">
      <c r="A13" s="11" t="s">
        <v>0</v>
      </c>
      <c r="C13" s="11"/>
    </row>
    <row r="157" spans="4:4" ht="31.5">
      <c r="D157" s="15" t="s">
        <v>83</v>
      </c>
    </row>
    <row r="158" spans="4:4" ht="31.5">
      <c r="D158" s="15" t="s">
        <v>84</v>
      </c>
    </row>
    <row r="159" spans="4:4" ht="31.5">
      <c r="D159" s="15" t="s">
        <v>85</v>
      </c>
    </row>
    <row r="160" spans="4:4" ht="31.5">
      <c r="D160" s="15" t="s">
        <v>86</v>
      </c>
    </row>
    <row r="161" spans="4:4" ht="31.5">
      <c r="D161" s="15" t="s">
        <v>87</v>
      </c>
    </row>
    <row r="162" spans="4:4">
      <c r="D162" s="15" t="s">
        <v>88</v>
      </c>
    </row>
    <row r="163" spans="4:4" ht="31.5">
      <c r="D163" s="15" t="s">
        <v>89</v>
      </c>
    </row>
    <row r="164" spans="4:4" ht="31.5">
      <c r="D164" s="15" t="s">
        <v>90</v>
      </c>
    </row>
    <row r="165" spans="4:4" ht="31.5">
      <c r="D165" s="15" t="s">
        <v>91</v>
      </c>
    </row>
    <row r="166" spans="4:4" ht="31.5">
      <c r="D166" s="15" t="s">
        <v>92</v>
      </c>
    </row>
    <row r="167" spans="4:4" ht="31.5">
      <c r="D167" s="15" t="s">
        <v>93</v>
      </c>
    </row>
    <row r="168" spans="4:4" ht="31.5">
      <c r="D168" s="15" t="s">
        <v>94</v>
      </c>
    </row>
    <row r="169" spans="4:4" ht="31.5">
      <c r="D169" s="15" t="s">
        <v>95</v>
      </c>
    </row>
    <row r="170" spans="4:4" ht="31.5">
      <c r="D170" s="15" t="s">
        <v>96</v>
      </c>
    </row>
    <row r="171" spans="4:4" ht="31.5">
      <c r="D171" s="15" t="s">
        <v>97</v>
      </c>
    </row>
    <row r="172" spans="4:4" ht="31.5">
      <c r="D172" s="15" t="s">
        <v>98</v>
      </c>
    </row>
    <row r="173" spans="4:4" ht="31.5">
      <c r="D173" s="15" t="s">
        <v>99</v>
      </c>
    </row>
    <row r="174" spans="4:4" ht="31.5">
      <c r="D174" s="15" t="s">
        <v>100</v>
      </c>
    </row>
    <row r="175" spans="4:4" ht="31.5">
      <c r="D175" s="15" t="s">
        <v>101</v>
      </c>
    </row>
    <row r="176" spans="4:4" ht="31.5">
      <c r="D176" s="15" t="s">
        <v>102</v>
      </c>
    </row>
    <row r="177" spans="4:4" ht="31.5">
      <c r="D177" s="15" t="s">
        <v>103</v>
      </c>
    </row>
    <row r="178" spans="4:4" ht="31.5">
      <c r="D178" s="15" t="s">
        <v>104</v>
      </c>
    </row>
    <row r="179" spans="4:4" ht="31.5">
      <c r="D179" s="15" t="s">
        <v>105</v>
      </c>
    </row>
    <row r="180" spans="4:4" ht="31.5">
      <c r="D180" s="15" t="s">
        <v>106</v>
      </c>
    </row>
    <row r="181" spans="4:4" ht="31.5">
      <c r="D181" s="15" t="s">
        <v>107</v>
      </c>
    </row>
    <row r="182" spans="4:4" ht="31.5">
      <c r="D182" s="15" t="s">
        <v>108</v>
      </c>
    </row>
    <row r="183" spans="4:4" ht="31.5">
      <c r="D183" s="15" t="s">
        <v>109</v>
      </c>
    </row>
    <row r="184" spans="4:4" ht="31.5">
      <c r="D184" s="15" t="s">
        <v>110</v>
      </c>
    </row>
    <row r="185" spans="4:4" ht="31.5">
      <c r="D185" s="15" t="s">
        <v>111</v>
      </c>
    </row>
    <row r="186" spans="4:4" ht="31.5">
      <c r="D186" s="15" t="s">
        <v>112</v>
      </c>
    </row>
    <row r="187" spans="4:4" ht="31.5">
      <c r="D187" s="15" t="s">
        <v>113</v>
      </c>
    </row>
    <row r="188" spans="4:4" ht="31.5">
      <c r="D188" s="15" t="s">
        <v>114</v>
      </c>
    </row>
    <row r="189" spans="4:4" ht="31.5">
      <c r="D189" s="15" t="s">
        <v>115</v>
      </c>
    </row>
    <row r="190" spans="4:4" ht="31.5">
      <c r="D190" s="15" t="s">
        <v>116</v>
      </c>
    </row>
    <row r="191" spans="4:4" ht="31.5">
      <c r="D191" s="15" t="s">
        <v>117</v>
      </c>
    </row>
    <row r="192" spans="4:4">
      <c r="D192" s="15" t="s">
        <v>118</v>
      </c>
    </row>
    <row r="193" spans="4:4" ht="31.5">
      <c r="D193" s="15" t="s">
        <v>119</v>
      </c>
    </row>
    <row r="194" spans="4:4" ht="31.5">
      <c r="D194" s="15" t="s">
        <v>120</v>
      </c>
    </row>
    <row r="195" spans="4:4">
      <c r="D195" s="15" t="s">
        <v>121</v>
      </c>
    </row>
    <row r="196" spans="4:4" ht="31.5">
      <c r="D196" s="15" t="s">
        <v>122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/>
  <dimension ref="A1:K18"/>
  <sheetViews>
    <sheetView workbookViewId="0">
      <selection activeCell="D19" sqref="D19"/>
    </sheetView>
  </sheetViews>
  <sheetFormatPr defaultColWidth="7.5703125" defaultRowHeight="15.75"/>
  <cols>
    <col min="1" max="1" width="17.140625" style="10" customWidth="1"/>
    <col min="2" max="2" width="15.85546875" style="10" customWidth="1"/>
    <col min="3" max="4" width="35.28515625" style="10" customWidth="1"/>
    <col min="5" max="5" width="16.28515625" style="10" customWidth="1"/>
    <col min="6" max="6" width="11.5703125" style="19" customWidth="1"/>
    <col min="7" max="11" width="12.5703125" style="20" customWidth="1"/>
    <col min="12" max="16384" width="7.5703125" style="10"/>
  </cols>
  <sheetData>
    <row r="1" spans="1:11" s="9" customFormat="1">
      <c r="A1" s="9" t="s">
        <v>151</v>
      </c>
      <c r="B1" s="9" t="s">
        <v>152</v>
      </c>
      <c r="C1" s="9" t="s">
        <v>153</v>
      </c>
      <c r="D1" s="9" t="s">
        <v>184</v>
      </c>
      <c r="E1" s="14" t="s">
        <v>125</v>
      </c>
      <c r="F1" s="17" t="s">
        <v>154</v>
      </c>
      <c r="G1" s="18" t="s">
        <v>170</v>
      </c>
      <c r="H1" s="18" t="s">
        <v>171</v>
      </c>
      <c r="I1" s="18" t="s">
        <v>172</v>
      </c>
      <c r="J1" s="18" t="s">
        <v>173</v>
      </c>
      <c r="K1" s="18" t="s">
        <v>174</v>
      </c>
    </row>
    <row r="2" spans="1:11" s="9" customFormat="1">
      <c r="A2" s="9" t="s">
        <v>155</v>
      </c>
      <c r="B2" s="9" t="s">
        <v>156</v>
      </c>
      <c r="C2" s="9" t="s">
        <v>157</v>
      </c>
      <c r="D2" s="9" t="s">
        <v>185</v>
      </c>
      <c r="E2" s="14" t="s">
        <v>191</v>
      </c>
      <c r="F2" s="17" t="s">
        <v>158</v>
      </c>
      <c r="G2" s="18" t="s">
        <v>169</v>
      </c>
      <c r="H2" s="18" t="s">
        <v>175</v>
      </c>
      <c r="I2" s="18" t="s">
        <v>176</v>
      </c>
      <c r="J2" s="18" t="s">
        <v>177</v>
      </c>
      <c r="K2" s="18" t="s">
        <v>178</v>
      </c>
    </row>
    <row r="3" spans="1:11">
      <c r="A3" s="10" t="s">
        <v>196</v>
      </c>
      <c r="B3" s="13" t="s">
        <v>161</v>
      </c>
      <c r="C3" s="15" t="s">
        <v>186</v>
      </c>
      <c r="D3" s="6" t="s">
        <v>189</v>
      </c>
      <c r="E3" s="10" t="str">
        <f>A3</f>
        <v>Investigation</v>
      </c>
      <c r="G3" s="20" t="s">
        <v>179</v>
      </c>
    </row>
    <row r="4" spans="1:11">
      <c r="A4" s="10" t="s">
        <v>167</v>
      </c>
      <c r="B4" s="10" t="s">
        <v>168</v>
      </c>
      <c r="C4" s="10" t="s">
        <v>187</v>
      </c>
      <c r="D4" s="6" t="s">
        <v>190</v>
      </c>
      <c r="E4" s="10" t="str">
        <f t="shared" ref="E4:E5" si="0">A4</f>
        <v>CombatInstinct</v>
      </c>
      <c r="G4" s="20" t="s">
        <v>180</v>
      </c>
    </row>
    <row r="5" spans="1:11">
      <c r="A5" s="10" t="s">
        <v>163</v>
      </c>
      <c r="B5" s="13" t="s">
        <v>164</v>
      </c>
      <c r="C5" s="15" t="s">
        <v>165</v>
      </c>
      <c r="D5" s="6" t="s">
        <v>188</v>
      </c>
      <c r="E5" s="10" t="str">
        <f t="shared" si="0"/>
        <v>HideAndSeek</v>
      </c>
      <c r="G5" s="20" t="s">
        <v>159</v>
      </c>
    </row>
    <row r="6" spans="1:11">
      <c r="B6" s="13"/>
      <c r="C6" s="15"/>
      <c r="D6" s="15"/>
      <c r="E6" s="15"/>
    </row>
    <row r="7" spans="1:11">
      <c r="B7" s="13"/>
      <c r="C7" s="15"/>
      <c r="D7" s="15"/>
      <c r="E7" s="15"/>
    </row>
    <row r="8" spans="1:11">
      <c r="B8" s="13"/>
      <c r="C8" s="15"/>
      <c r="D8" s="15"/>
      <c r="E8" s="15"/>
    </row>
    <row r="9" spans="1:11">
      <c r="B9" s="13"/>
      <c r="C9" s="15"/>
      <c r="D9" s="15"/>
      <c r="E9" s="15"/>
    </row>
    <row r="10" spans="1:11">
      <c r="B10" s="13"/>
      <c r="C10" s="15"/>
      <c r="D10" s="15"/>
      <c r="E10" s="15"/>
    </row>
    <row r="11" spans="1:11">
      <c r="B11" s="13"/>
      <c r="C11" s="15"/>
      <c r="D11" s="15"/>
      <c r="E11" s="15"/>
    </row>
    <row r="18" spans="1:1">
      <c r="A18" s="11" t="s">
        <v>160</v>
      </c>
    </row>
  </sheetData>
  <phoneticPr fontId="1" type="noConversion"/>
  <pageMargins left="0.7" right="0.7" top="0.75" bottom="0.75" header="0.3" footer="0.3"/>
  <legacy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4"/>
  <dimension ref="A1:M76"/>
  <sheetViews>
    <sheetView topLeftCell="A4" zoomScaleNormal="100" workbookViewId="0">
      <selection activeCell="B9" sqref="B9"/>
    </sheetView>
  </sheetViews>
  <sheetFormatPr defaultRowHeight="15.75"/>
  <cols>
    <col min="1" max="1" width="13.140625" customWidth="1"/>
    <col min="2" max="2" width="18.42578125" customWidth="1"/>
    <col min="3" max="3" width="13.85546875" customWidth="1"/>
    <col min="4" max="4" width="37.42578125" customWidth="1"/>
  </cols>
  <sheetData>
    <row r="1" spans="1:4" s="3" customFormat="1" ht="16.5">
      <c r="A1" s="2" t="s">
        <v>70</v>
      </c>
    </row>
    <row r="2" spans="1:4" ht="16.5">
      <c r="A2" s="4" t="s">
        <v>71</v>
      </c>
    </row>
    <row r="3" spans="1:4" ht="16.5">
      <c r="A3" s="4" t="s">
        <v>72</v>
      </c>
    </row>
    <row r="4" spans="1:4" ht="16.5">
      <c r="A4" s="4" t="s">
        <v>73</v>
      </c>
    </row>
    <row r="5" spans="1:4" ht="16.5">
      <c r="A5" s="4" t="s">
        <v>74</v>
      </c>
    </row>
    <row r="6" spans="1:4" ht="16.5">
      <c r="A6" s="4" t="s">
        <v>75</v>
      </c>
    </row>
    <row r="7" spans="1:4" ht="16.5">
      <c r="A7" s="4"/>
    </row>
    <row r="8" spans="1:4">
      <c r="D8" s="6"/>
    </row>
    <row r="10" spans="1:4">
      <c r="D10" s="6"/>
    </row>
    <row r="13" spans="1:4">
      <c r="D13" s="6"/>
    </row>
    <row r="15" spans="1:4">
      <c r="D15" s="6"/>
    </row>
    <row r="55" spans="1:13">
      <c r="A55" t="s">
        <v>23</v>
      </c>
      <c r="B55" t="s">
        <v>50</v>
      </c>
      <c r="C55" t="s">
        <v>12</v>
      </c>
      <c r="E55" t="s">
        <v>13</v>
      </c>
      <c r="F55" t="s">
        <v>14</v>
      </c>
      <c r="G55" t="s">
        <v>15</v>
      </c>
      <c r="H55" t="s">
        <v>16</v>
      </c>
      <c r="I55" t="s">
        <v>17</v>
      </c>
      <c r="J55" t="s">
        <v>18</v>
      </c>
      <c r="K55" t="s">
        <v>19</v>
      </c>
      <c r="L55" t="s">
        <v>20</v>
      </c>
      <c r="M55" t="s">
        <v>21</v>
      </c>
    </row>
    <row r="56" spans="1:13">
      <c r="A56" t="s">
        <v>24</v>
      </c>
      <c r="B56" t="s">
        <v>51</v>
      </c>
      <c r="C56" t="s">
        <v>12</v>
      </c>
      <c r="E56" t="s">
        <v>13</v>
      </c>
      <c r="F56" t="s">
        <v>14</v>
      </c>
      <c r="G56" t="s">
        <v>15</v>
      </c>
      <c r="H56" t="s">
        <v>16</v>
      </c>
      <c r="I56" t="s">
        <v>17</v>
      </c>
      <c r="J56" t="s">
        <v>18</v>
      </c>
      <c r="K56" t="s">
        <v>19</v>
      </c>
      <c r="L56" t="s">
        <v>20</v>
      </c>
      <c r="M56" t="s">
        <v>21</v>
      </c>
    </row>
    <row r="59" spans="1:13">
      <c r="A59" s="5" t="s">
        <v>28</v>
      </c>
      <c r="B59" s="5" t="s">
        <v>37</v>
      </c>
      <c r="C59" s="5" t="s">
        <v>22</v>
      </c>
      <c r="D59" s="5" t="s">
        <v>52</v>
      </c>
    </row>
    <row r="60" spans="1:13">
      <c r="A60" s="5" t="s">
        <v>29</v>
      </c>
      <c r="B60" s="5" t="s">
        <v>1</v>
      </c>
      <c r="C60" s="5" t="s">
        <v>22</v>
      </c>
      <c r="D60" s="5" t="s">
        <v>53</v>
      </c>
    </row>
    <row r="61" spans="1:13">
      <c r="A61" s="5" t="s">
        <v>30</v>
      </c>
      <c r="B61" s="5" t="s">
        <v>2</v>
      </c>
      <c r="C61" s="5" t="s">
        <v>22</v>
      </c>
      <c r="D61" s="5" t="s">
        <v>54</v>
      </c>
    </row>
    <row r="62" spans="1:13">
      <c r="A62" s="5" t="s">
        <v>31</v>
      </c>
      <c r="B62" s="5" t="s">
        <v>3</v>
      </c>
      <c r="C62" s="5" t="s">
        <v>22</v>
      </c>
      <c r="D62" s="5" t="s">
        <v>55</v>
      </c>
    </row>
    <row r="63" spans="1:13">
      <c r="A63" s="5" t="s">
        <v>32</v>
      </c>
      <c r="B63" s="5" t="s">
        <v>4</v>
      </c>
      <c r="C63" s="5" t="s">
        <v>22</v>
      </c>
      <c r="D63" s="5" t="s">
        <v>56</v>
      </c>
    </row>
    <row r="64" spans="1:13">
      <c r="A64" s="5" t="s">
        <v>33</v>
      </c>
      <c r="B64" s="5" t="s">
        <v>5</v>
      </c>
      <c r="C64" s="5" t="s">
        <v>22</v>
      </c>
      <c r="D64" s="5" t="s">
        <v>57</v>
      </c>
    </row>
    <row r="65" spans="1:4">
      <c r="A65" s="5" t="s">
        <v>45</v>
      </c>
      <c r="B65" s="5" t="s">
        <v>38</v>
      </c>
      <c r="C65" s="5" t="s">
        <v>22</v>
      </c>
      <c r="D65" s="5" t="s">
        <v>58</v>
      </c>
    </row>
    <row r="66" spans="1:4">
      <c r="A66" s="5" t="s">
        <v>34</v>
      </c>
      <c r="B66" s="5" t="s">
        <v>39</v>
      </c>
      <c r="C66" s="5" t="s">
        <v>22</v>
      </c>
      <c r="D66" s="5" t="s">
        <v>59</v>
      </c>
    </row>
    <row r="67" spans="1:4">
      <c r="A67" s="5" t="s">
        <v>43</v>
      </c>
      <c r="B67" s="5" t="s">
        <v>6</v>
      </c>
      <c r="C67" s="5" t="s">
        <v>22</v>
      </c>
      <c r="D67" s="5" t="s">
        <v>60</v>
      </c>
    </row>
    <row r="68" spans="1:4">
      <c r="A68" s="5" t="s">
        <v>46</v>
      </c>
      <c r="B68" s="5" t="s">
        <v>35</v>
      </c>
      <c r="C68" s="5" t="s">
        <v>22</v>
      </c>
      <c r="D68" s="5" t="s">
        <v>61</v>
      </c>
    </row>
    <row r="69" spans="1:4">
      <c r="A69" s="5" t="s">
        <v>44</v>
      </c>
      <c r="B69" s="5" t="s">
        <v>7</v>
      </c>
      <c r="C69" s="5" t="s">
        <v>22</v>
      </c>
      <c r="D69" s="5" t="s">
        <v>62</v>
      </c>
    </row>
    <row r="70" spans="1:4">
      <c r="A70" s="5" t="s">
        <v>47</v>
      </c>
      <c r="B70" s="5" t="s">
        <v>36</v>
      </c>
      <c r="C70" s="5" t="s">
        <v>22</v>
      </c>
      <c r="D70" s="5" t="s">
        <v>63</v>
      </c>
    </row>
    <row r="71" spans="1:4">
      <c r="A71" s="5" t="s">
        <v>41</v>
      </c>
      <c r="B71" s="5" t="s">
        <v>8</v>
      </c>
      <c r="C71" s="5" t="s">
        <v>22</v>
      </c>
      <c r="D71" s="5" t="s">
        <v>64</v>
      </c>
    </row>
    <row r="72" spans="1:4">
      <c r="A72" s="5" t="s">
        <v>42</v>
      </c>
      <c r="B72" s="5" t="s">
        <v>27</v>
      </c>
      <c r="C72" s="5" t="s">
        <v>22</v>
      </c>
      <c r="D72" s="5" t="s">
        <v>65</v>
      </c>
    </row>
    <row r="73" spans="1:4">
      <c r="A73" s="5" t="s">
        <v>26</v>
      </c>
      <c r="B73" s="5" t="s">
        <v>9</v>
      </c>
      <c r="C73" s="5" t="s">
        <v>22</v>
      </c>
      <c r="D73" s="5" t="s">
        <v>66</v>
      </c>
    </row>
    <row r="74" spans="1:4">
      <c r="A74" s="5" t="s">
        <v>25</v>
      </c>
      <c r="B74" s="5" t="s">
        <v>40</v>
      </c>
      <c r="C74" s="5" t="s">
        <v>22</v>
      </c>
      <c r="D74" s="5" t="s">
        <v>67</v>
      </c>
    </row>
    <row r="75" spans="1:4">
      <c r="A75" s="5" t="s">
        <v>48</v>
      </c>
      <c r="B75" s="5" t="s">
        <v>10</v>
      </c>
      <c r="C75" s="5" t="s">
        <v>22</v>
      </c>
      <c r="D75" s="5" t="s">
        <v>68</v>
      </c>
    </row>
    <row r="76" spans="1:4">
      <c r="A76" s="5" t="s">
        <v>49</v>
      </c>
      <c r="B76" s="5" t="s">
        <v>11</v>
      </c>
      <c r="C76" s="5" t="s">
        <v>22</v>
      </c>
      <c r="D76" s="5" t="s">
        <v>69</v>
      </c>
    </row>
  </sheetData>
  <phoneticPr fontId="1" type="noConversion"/>
  <pageMargins left="0.7" right="0.7" top="0.75" bottom="0.75" header="0.3" footer="0.3"/>
  <pageSetup paperSize="9" orientation="portrait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6"/>
  <dimension ref="A1:D11"/>
  <sheetViews>
    <sheetView workbookViewId="0">
      <selection activeCell="B29" sqref="B29"/>
    </sheetView>
  </sheetViews>
  <sheetFormatPr defaultRowHeight="15.75"/>
  <cols>
    <col min="1" max="1" width="15.140625" customWidth="1"/>
    <col min="2" max="2" width="22.5703125" customWidth="1"/>
    <col min="3" max="3" width="21.5703125" customWidth="1"/>
    <col min="4" max="4" width="24.5703125" customWidth="1"/>
    <col min="5" max="5" width="11" customWidth="1"/>
    <col min="7" max="8" width="17.28515625" customWidth="1"/>
    <col min="9" max="9" width="26.140625" customWidth="1"/>
    <col min="10" max="10" width="21.85546875" customWidth="1"/>
    <col min="11" max="11" width="17.85546875" customWidth="1"/>
    <col min="12" max="12" width="27.7109375" customWidth="1"/>
  </cols>
  <sheetData>
    <row r="1" spans="1:4">
      <c r="A1" s="7" t="s">
        <v>78</v>
      </c>
      <c r="B1" s="8" t="s">
        <v>130</v>
      </c>
    </row>
    <row r="2" spans="1:4">
      <c r="A2" s="7" t="s">
        <v>78</v>
      </c>
      <c r="B2" s="8" t="s">
        <v>131</v>
      </c>
    </row>
    <row r="3" spans="1:4">
      <c r="A3" s="7" t="s">
        <v>182</v>
      </c>
      <c r="B3" t="s">
        <v>183</v>
      </c>
      <c r="C3" t="s">
        <v>194</v>
      </c>
    </row>
    <row r="4" spans="1:4">
      <c r="B4" s="8"/>
    </row>
    <row r="5" spans="1:4">
      <c r="A5" s="1"/>
    </row>
    <row r="9" spans="1:4" ht="16.5">
      <c r="A9" s="2"/>
      <c r="B9" s="2" t="s">
        <v>79</v>
      </c>
      <c r="C9" s="2" t="s">
        <v>135</v>
      </c>
      <c r="D9" s="2" t="s">
        <v>76</v>
      </c>
    </row>
    <row r="10" spans="1:4" ht="47.25">
      <c r="B10" s="6"/>
      <c r="C10" t="s">
        <v>136</v>
      </c>
      <c r="D10" s="6" t="s">
        <v>137</v>
      </c>
    </row>
    <row r="11" spans="1:4">
      <c r="B11" s="6"/>
      <c r="C11" t="s">
        <v>138</v>
      </c>
    </row>
  </sheetData>
  <phoneticPr fontId="1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5</vt:i4>
      </vt:variant>
    </vt:vector>
  </HeadingPairs>
  <TitlesOfParts>
    <vt:vector size="5" baseType="lpstr">
      <vt:lpstr>Role</vt:lpstr>
      <vt:lpstr>RolePlot</vt:lpstr>
      <vt:lpstr>Talent</vt:lpstr>
      <vt:lpstr>Info</vt:lpstr>
      <vt:lpstr>Setting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GameFactory</dc:creator>
  <cp:lastModifiedBy>scoz</cp:lastModifiedBy>
  <dcterms:created xsi:type="dcterms:W3CDTF">2015-06-05T18:19:34Z</dcterms:created>
  <dcterms:modified xsi:type="dcterms:W3CDTF">2023-05-05T17:02:48Z</dcterms:modified>
</cp:coreProperties>
</file>