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28920" yWindow="-1485" windowWidth="29040" windowHeight="16440"/>
  </bookViews>
  <sheets>
    <sheet name="Role" sheetId="1" r:id="rId1"/>
    <sheet name="Talent" sheetId="10" r:id="rId2"/>
    <sheet name="RolePlot" sheetId="9" r:id="rId3"/>
    <sheet name="Info" sheetId="6" r:id="rId4"/>
    <sheet name="Setting" sheetId="7" r:id="rId5"/>
  </sheets>
  <functionGroups builtInGroupCount="17"/>
  <definedNames>
    <definedName name="Requirement">OFFSET(Setting!$C$10:$C$29,,,COUNTA(Setting!$C$10:$C$29))</definedName>
    <definedName name="Talent">OFFSET(Setting!$A$10:$A$29,,,COUNTA(Setting!$A$10:$A$29))</definedName>
    <definedName name="TalentType">OFFSET(Talent!$A$3:$A$300,,,COUNTA(Talent!$A$3:$A$300))</definedName>
  </definedNames>
  <calcPr calcId="144525"/>
  <fileRecoveryPr repairLoad="1"/>
</workbook>
</file>

<file path=xl/calcChain.xml><?xml version="1.0" encoding="utf-8"?>
<calcChain xmlns="http://schemas.openxmlformats.org/spreadsheetml/2006/main">
  <c r="E6" i="1" l="1"/>
  <c r="E5" i="1"/>
  <c r="E4" i="1"/>
  <c r="D6" i="10"/>
  <c r="D5" i="10" l="1"/>
  <c r="D4" i="10"/>
  <c r="D3" i="10"/>
  <c r="E3" i="1"/>
</calcChain>
</file>

<file path=xl/comments1.xml><?xml version="1.0" encoding="utf-8"?>
<comments xmlns="http://schemas.openxmlformats.org/spreadsheetml/2006/main">
  <authors>
    <author>scoz</author>
  </authors>
  <commentLis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指定獲得道具清單，可用逗號隔開
填1,5代表創腳時會獲得1跟5這兩個道具</t>
        </r>
      </text>
    </comment>
  </commentList>
</comments>
</file>

<file path=xl/sharedStrings.xml><?xml version="1.0" encoding="utf-8"?>
<sst xmlns="http://schemas.openxmlformats.org/spreadsheetml/2006/main" count="294" uniqueCount="208">
  <si>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</si>
  <si>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</si>
  <si>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</si>
  <si>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</si>
  <si>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</si>
  <si>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</si>
  <si>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</si>
  <si>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</si>
  <si>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</si>
  <si>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</si>
  <si>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</si>
  <si>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</si>
  <si>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</si>
  <si>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</si>
  <si>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</si>
  <si>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</si>
  <si>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</si>
  <si>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</si>
  <si>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</si>
  <si>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</si>
  <si>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</si>
  <si>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</si>
  <si>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</si>
  <si>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</si>
  <si>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</si>
  <si>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</si>
  <si>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</si>
  <si>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</si>
  <si>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</si>
  <si>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</si>
  <si>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</si>
  <si>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</si>
  <si>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</si>
  <si>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</si>
  <si>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</si>
  <si>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</si>
  <si>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</si>
  <si>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</si>
  <si>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</si>
  <si>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</si>
  <si>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</si>
  <si>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</si>
  <si>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</si>
  <si>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</si>
  <si>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</si>
  <si>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</si>
  <si>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</si>
  <si>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</si>
  <si>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</si>
  <si>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</si>
  <si>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</si>
  <si>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</si>
  <si>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</si>
  <si>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</si>
  <si>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</si>
  <si>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</si>
  <si>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</si>
  <si>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</si>
  <si>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</si>
  <si>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</si>
  <si>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</si>
  <si>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</si>
  <si>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</si>
  <si>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</si>
  <si>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</si>
  <si>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</si>
  <si>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</si>
  <si>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</si>
  <si>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</si>
  <si>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</si>
  <si>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</si>
  <si>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</si>
  <si>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</si>
  <si>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</si>
  <si>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</si>
  <si>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</si>
  <si>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</si>
  <si>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</si>
  <si>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</si>
  <si>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</si>
  <si>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</si>
  <si>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</si>
  <si>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</si>
  <si>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</si>
  <si>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</si>
  <si>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</si>
  <si>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</si>
  <si>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</si>
  <si>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</si>
  <si>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</si>
  <si>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</si>
  <si>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</si>
  <si>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</si>
  <si>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</si>
  <si>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</si>
  <si>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</si>
  <si>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</si>
  <si>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</si>
  <si>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</si>
  <si>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</si>
  <si>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</si>
  <si>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</si>
  <si>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</si>
  <si>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</si>
  <si>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</si>
  <si>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</si>
  <si>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</si>
  <si>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</si>
  <si>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</si>
  <si>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</si>
  <si>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</si>
  <si>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</si>
  <si>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</si>
  <si>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</si>
  <si>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</si>
  <si>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</si>
  <si>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</si>
  <si>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</si>
  <si>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</si>
  <si>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</si>
  <si>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</si>
  <si>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</si>
  <si>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</si>
  <si>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</si>
  <si>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</si>
  <si>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</si>
  <si>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</si>
  <si>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</si>
  <si>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理智</t>
    <phoneticPr fontId="1" type="noConversion"/>
  </si>
  <si>
    <t>生命</t>
    <phoneticPr fontId="1" type="noConversion"/>
  </si>
  <si>
    <t>\thedoor\Assets\AddressableAssets\Json\</t>
  </si>
  <si>
    <t>\thedoor_cf\functions\GameData\</t>
    <phoneticPr fontId="1" type="noConversion"/>
  </si>
  <si>
    <t>研究生</t>
  </si>
  <si>
    <t>Requirement</t>
    <phoneticPr fontId="1" type="noConversion"/>
  </si>
  <si>
    <t>解鎖需求</t>
    <phoneticPr fontId="1" type="noConversion"/>
  </si>
  <si>
    <t>Requirement</t>
    <phoneticPr fontId="1" type="noConversion"/>
  </si>
  <si>
    <t>Gold</t>
    <phoneticPr fontId="1" type="noConversion"/>
  </si>
  <si>
    <t>需求遊戲幣{0}
RequirementValue填100代表需求遊戲幣100</t>
    <phoneticPr fontId="1" type="noConversion"/>
  </si>
  <si>
    <t>Point</t>
    <phoneticPr fontId="1" type="noConversion"/>
  </si>
  <si>
    <t>解鎖需求參數</t>
    <phoneticPr fontId="1" type="noConversion"/>
  </si>
  <si>
    <t>腳色專屬劇本</t>
    <phoneticPr fontId="1" type="noConversion"/>
  </si>
  <si>
    <t>Rank</t>
    <phoneticPr fontId="1" type="noConversion"/>
  </si>
  <si>
    <t>RequireValue</t>
    <phoneticPr fontId="1" type="noConversion"/>
  </si>
  <si>
    <t>ExclusiveScripts</t>
    <phoneticPr fontId="1" type="noConversion"/>
  </si>
  <si>
    <t>腳色ID</t>
    <phoneticPr fontId="1" type="noConversion"/>
  </si>
  <si>
    <t>RoleID</t>
    <phoneticPr fontId="1" type="noConversion"/>
  </si>
  <si>
    <t>能力</t>
    <phoneticPr fontId="1" type="noConversion"/>
  </si>
  <si>
    <t>ID</t>
    <phoneticPr fontId="1" type="noConversion"/>
  </si>
  <si>
    <t>Name_</t>
    <phoneticPr fontId="1" type="noConversion"/>
  </si>
  <si>
    <t>Description_</t>
    <phoneticPr fontId="1" type="noConversion"/>
  </si>
  <si>
    <t>編號</t>
    <phoneticPr fontId="1" type="noConversion"/>
  </si>
  <si>
    <t>名稱</t>
    <phoneticPr fontId="1" type="noConversion"/>
  </si>
  <si>
    <t>說明</t>
    <phoneticPr fontId="1" type="noConversion"/>
  </si>
  <si>
    <t>End</t>
    <phoneticPr fontId="1" type="noConversion"/>
  </si>
  <si>
    <t>Investigation</t>
  </si>
  <si>
    <t>數值1</t>
    <phoneticPr fontId="1" type="noConversion"/>
  </si>
  <si>
    <t>Value1</t>
    <phoneticPr fontId="1" type="noConversion"/>
  </si>
  <si>
    <t>Value2</t>
  </si>
  <si>
    <t>Value3</t>
  </si>
  <si>
    <t>Value4</t>
  </si>
  <si>
    <t>Value5</t>
  </si>
  <si>
    <t>數值2</t>
  </si>
  <si>
    <t>數值3</t>
  </si>
  <si>
    <t>數值4</t>
  </si>
  <si>
    <t>數值5</t>
  </si>
  <si>
    <t>1</t>
    <phoneticPr fontId="1" type="noConversion"/>
  </si>
  <si>
    <t>軍人</t>
    <phoneticPr fontId="1" type="noConversion"/>
  </si>
  <si>
    <t>輸出Enum</t>
    <phoneticPr fontId="1" type="noConversion"/>
  </si>
  <si>
    <t>\thedoor\Assets\Scripts\Enum\</t>
    <phoneticPr fontId="1" type="noConversion"/>
  </si>
  <si>
    <t>參考</t>
    <phoneticPr fontId="1" type="noConversion"/>
  </si>
  <si>
    <t>HP</t>
    <phoneticPr fontId="1" type="noConversion"/>
  </si>
  <si>
    <t>SanP</t>
    <phoneticPr fontId="1" type="noConversion"/>
  </si>
  <si>
    <t>TalentType</t>
    <phoneticPr fontId="1" type="noConversion"/>
  </si>
  <si>
    <t>指定道具</t>
    <phoneticPr fontId="1" type="noConversion"/>
  </si>
  <si>
    <t>Supplies</t>
    <phoneticPr fontId="1" type="noConversion"/>
  </si>
  <si>
    <t>10001,10002</t>
    <phoneticPr fontId="1" type="noConversion"/>
  </si>
  <si>
    <t>深入調查</t>
    <phoneticPr fontId="1" type="noConversion"/>
  </si>
  <si>
    <t>在休息室調查時，多一項可供選擇的道具</t>
    <phoneticPr fontId="1" type="noConversion"/>
  </si>
  <si>
    <t>1</t>
    <phoneticPr fontId="1" type="noConversion"/>
  </si>
  <si>
    <t>CombatSkill</t>
  </si>
  <si>
    <t>戰鬥技巧</t>
    <phoneticPr fontId="1" type="noConversion"/>
  </si>
  <si>
    <t>傷害+20%</t>
    <phoneticPr fontId="1" type="noConversion"/>
  </si>
  <si>
    <t>外科醫生</t>
    <phoneticPr fontId="1" type="noConversion"/>
  </si>
  <si>
    <t>休息時額外恢復30%已損失的生命</t>
    <phoneticPr fontId="1" type="noConversion"/>
  </si>
  <si>
    <t>EmergencyWoundCare</t>
  </si>
  <si>
    <t>傷口緊急處理</t>
    <phoneticPr fontId="1" type="noConversion"/>
  </si>
  <si>
    <t>0.3</t>
    <phoneticPr fontId="1" type="noConversion"/>
  </si>
  <si>
    <t>神職人員</t>
    <phoneticPr fontId="1" type="noConversion"/>
  </si>
  <si>
    <t>Faith</t>
    <phoneticPr fontId="1" type="noConversion"/>
  </si>
  <si>
    <t>信仰</t>
    <phoneticPr fontId="1" type="noConversion"/>
  </si>
  <si>
    <t>獲得信仰效果，且休息時額外恢復10點心智</t>
    <phoneticPr fontId="1" type="noConversion"/>
  </si>
  <si>
    <t>10</t>
    <phoneticPr fontId="1" type="noConversion"/>
  </si>
  <si>
    <t>Talent</t>
    <phoneticPr fontId="1" type="noConversion"/>
  </si>
  <si>
    <t>在某所大學裡，一位研究生意外地在一具死狀悽慘的屍體身上發現了一些神秘遺物。
然而，這位研究生並未意識到這件遺物將為他帶來詛咒與災難。
在那之後，他發現自己被一個可怕的詛咒纏上，使他不定時地被吸入恐怖空間。
在地獄中，處處可以發現一種外型奇特的染血鐘錶，他懷疑這恐怖的鐘錶暗示著某種秘密。
為了回到現實，他必須在那掙扎生存，打開一道又一道門後才來能回到現實。</t>
    <phoneticPr fontId="1" type="noConversion"/>
  </si>
  <si>
    <t>「這個瘋狂的地方是怎麼回事?」
「這道門後又有什麼可怕的的東西?」
「這個鐘錶指針又代表著什麼?」
數個疑問浮現在他腦海中，但現在最緊迫的問題是
「該怎麼活下去?」</t>
    <phoneticPr fontId="1" type="noConversion"/>
  </si>
  <si>
    <t>rolePlot1-1</t>
    <phoneticPr fontId="1" type="noConversion"/>
  </si>
  <si>
    <t>rolePlot1-2</t>
  </si>
  <si>
    <t>rolePlot2-2</t>
  </si>
  <si>
    <t>rolePlot2-1</t>
    <phoneticPr fontId="1" type="noConversion"/>
  </si>
  <si>
    <t>rolePlot3-1</t>
    <phoneticPr fontId="1" type="noConversion"/>
  </si>
  <si>
    <t>rolePlot3-2</t>
    <phoneticPr fontId="1" type="noConversion"/>
  </si>
  <si>
    <t>rolePlot4-1</t>
    <phoneticPr fontId="1" type="noConversion"/>
  </si>
  <si>
    <t>rolePlot4-2</t>
  </si>
  <si>
    <t>肉搏</t>
    <phoneticPr fontId="1" type="noConversion"/>
  </si>
  <si>
    <t>Unarmeds</t>
    <phoneticPr fontId="1" type="noConversion"/>
  </si>
  <si>
    <t>Investigation</t>
    <phoneticPr fontId="1" type="noConversion"/>
  </si>
  <si>
    <t>CombatSkill</t>
    <phoneticPr fontId="1" type="noConversion"/>
  </si>
  <si>
    <t>EmergencyWoundCare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</si>
</sst>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9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M196"/>
  <sheetViews>
    <sheetView tabSelected="1"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6" sqref="F6"/>
    </sheetView>
  </sheetViews>
  <sheetFormatPr defaultColWidth="7.5703125" defaultRowHeight="15.75" x14ac:dyDescent="0.2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5" width="11.5703125" style="15" customWidth="1"/>
    <col min="6" max="7" width="7.5703125" style="10" customWidth="1"/>
    <col min="8" max="8" width="14.7109375" style="18" customWidth="1"/>
    <col min="9" max="9" width="14.140625" style="10" customWidth="1"/>
    <col min="10" max="10" width="13.85546875" style="10" customWidth="1"/>
    <col min="11" max="11" width="14.42578125" style="10" customWidth="1"/>
    <col min="12" max="12" width="11.140625" style="10" customWidth="1"/>
    <col min="13" max="13" width="16.140625" style="10" customWidth="1"/>
    <col min="14" max="16384" width="7.5703125" style="10"/>
  </cols>
  <sheetData>
    <row r="1" spans="1:13" s="9" customFormat="1" x14ac:dyDescent="0.25">
      <c r="A1" s="9" t="s">
        <v>123</v>
      </c>
      <c r="B1" s="9" t="s">
        <v>124</v>
      </c>
      <c r="C1" s="9" t="s">
        <v>126</v>
      </c>
      <c r="D1" s="12" t="s">
        <v>141</v>
      </c>
      <c r="E1" s="14" t="s">
        <v>125</v>
      </c>
      <c r="F1" s="9" t="s">
        <v>170</v>
      </c>
      <c r="G1" s="9" t="s">
        <v>171</v>
      </c>
      <c r="H1" s="17" t="s">
        <v>204</v>
      </c>
      <c r="I1" s="9" t="s">
        <v>192</v>
      </c>
      <c r="J1" s="9" t="s">
        <v>133</v>
      </c>
      <c r="K1" s="9" t="s">
        <v>142</v>
      </c>
      <c r="L1" s="9" t="s">
        <v>174</v>
      </c>
      <c r="M1" s="9" t="s">
        <v>143</v>
      </c>
    </row>
    <row r="2" spans="1:13" s="9" customFormat="1" ht="15" customHeight="1" x14ac:dyDescent="0.25">
      <c r="A2" s="9" t="s">
        <v>77</v>
      </c>
      <c r="B2" s="9" t="s">
        <v>80</v>
      </c>
      <c r="C2" s="9" t="s">
        <v>127</v>
      </c>
      <c r="D2" s="12" t="s">
        <v>81</v>
      </c>
      <c r="E2" s="14" t="s">
        <v>169</v>
      </c>
      <c r="F2" s="9" t="s">
        <v>129</v>
      </c>
      <c r="G2" s="9" t="s">
        <v>128</v>
      </c>
      <c r="H2" s="17" t="s">
        <v>203</v>
      </c>
      <c r="I2" s="9" t="s">
        <v>146</v>
      </c>
      <c r="J2" s="9" t="s">
        <v>134</v>
      </c>
      <c r="K2" s="9" t="s">
        <v>139</v>
      </c>
      <c r="L2" s="9" t="s">
        <v>173</v>
      </c>
      <c r="M2" s="9" t="s">
        <v>140</v>
      </c>
    </row>
    <row r="3" spans="1:13" x14ac:dyDescent="0.25">
      <c r="A3" s="10">
        <v>1</v>
      </c>
      <c r="B3" s="13" t="s">
        <v>132</v>
      </c>
      <c r="C3" s="16"/>
      <c r="D3" s="13">
        <v>1</v>
      </c>
      <c r="E3" s="10" t="str">
        <f>"role"&amp;A3</f>
        <v>role1</v>
      </c>
      <c r="F3" s="10">
        <v>80</v>
      </c>
      <c r="G3" s="10">
        <v>60</v>
      </c>
      <c r="H3" s="18" t="s">
        <v>175</v>
      </c>
      <c r="I3" s="10" t="s">
        <v>205</v>
      </c>
      <c r="L3" s="10">
        <v>11001</v>
      </c>
    </row>
    <row r="4" spans="1:13" x14ac:dyDescent="0.25">
      <c r="A4" s="10">
        <v>2</v>
      </c>
      <c r="B4" s="13" t="s">
        <v>166</v>
      </c>
      <c r="C4" s="16"/>
      <c r="D4" s="13">
        <v>1</v>
      </c>
      <c r="E4" s="10" t="str">
        <f>"role"&amp;A4</f>
        <v>role2</v>
      </c>
      <c r="F4" s="10">
        <v>90</v>
      </c>
      <c r="G4" s="10">
        <v>50</v>
      </c>
      <c r="H4" s="18" t="s">
        <v>175</v>
      </c>
      <c r="I4" s="10" t="s">
        <v>206</v>
      </c>
      <c r="L4" s="10">
        <v>11002</v>
      </c>
    </row>
    <row r="5" spans="1:13" x14ac:dyDescent="0.25">
      <c r="A5" s="10">
        <v>3</v>
      </c>
      <c r="B5" s="13" t="s">
        <v>182</v>
      </c>
      <c r="C5" s="16"/>
      <c r="D5" s="13">
        <v>1</v>
      </c>
      <c r="E5" s="10" t="str">
        <f>"role"&amp;A5</f>
        <v>role3</v>
      </c>
      <c r="F5" s="10">
        <v>70</v>
      </c>
      <c r="G5" s="10">
        <v>80</v>
      </c>
      <c r="H5" s="18" t="s">
        <v>175</v>
      </c>
      <c r="I5" s="10" t="s">
        <v>207</v>
      </c>
      <c r="L5" s="10">
        <v>11003</v>
      </c>
    </row>
    <row r="6" spans="1:13" x14ac:dyDescent="0.25">
      <c r="A6" s="10">
        <v>4</v>
      </c>
      <c r="B6" s="13" t="s">
        <v>187</v>
      </c>
      <c r="C6" s="16"/>
      <c r="D6" s="13">
        <v>1</v>
      </c>
      <c r="E6" s="10" t="str">
        <f>"role"&amp;A6</f>
        <v>role4</v>
      </c>
      <c r="F6" s="10">
        <v>50</v>
      </c>
      <c r="G6" s="10">
        <v>90</v>
      </c>
      <c r="H6" s="18" t="s">
        <v>175</v>
      </c>
      <c r="I6" s="10" t="s">
        <v>188</v>
      </c>
      <c r="L6" s="10">
        <v>11004</v>
      </c>
    </row>
    <row r="7" spans="1:13" x14ac:dyDescent="0.25">
      <c r="B7" s="13"/>
      <c r="C7" s="16"/>
      <c r="E7" s="10"/>
    </row>
    <row r="8" spans="1:13" x14ac:dyDescent="0.25">
      <c r="B8" s="13"/>
      <c r="C8" s="16"/>
      <c r="E8" s="10"/>
    </row>
    <row r="9" spans="1:13" x14ac:dyDescent="0.25">
      <c r="B9" s="13"/>
      <c r="C9" s="16"/>
      <c r="E9" s="10"/>
    </row>
    <row r="10" spans="1:13" x14ac:dyDescent="0.25">
      <c r="C10" s="16"/>
      <c r="E10" s="10"/>
    </row>
    <row r="11" spans="1:13" x14ac:dyDescent="0.25">
      <c r="C11" s="16"/>
      <c r="E11" s="10"/>
    </row>
    <row r="13" spans="1:13" x14ac:dyDescent="0.25">
      <c r="A13" s="11" t="s">
        <v>0</v>
      </c>
    </row>
    <row r="157" spans="4:5" ht="31.5" x14ac:dyDescent="0.25">
      <c r="D157" s="10"/>
      <c r="E157" s="15" t="s">
        <v>83</v>
      </c>
    </row>
    <row r="158" spans="4:5" ht="31.5" x14ac:dyDescent="0.25">
      <c r="D158" s="10"/>
      <c r="E158" s="15" t="s">
        <v>84</v>
      </c>
    </row>
    <row r="159" spans="4:5" ht="31.5" x14ac:dyDescent="0.25">
      <c r="D159" s="10"/>
      <c r="E159" s="15" t="s">
        <v>85</v>
      </c>
    </row>
    <row r="160" spans="4:5" ht="31.5" x14ac:dyDescent="0.25">
      <c r="D160" s="10"/>
      <c r="E160" s="15" t="s">
        <v>86</v>
      </c>
    </row>
    <row r="161" spans="4:5" ht="31.5" x14ac:dyDescent="0.25">
      <c r="D161" s="10"/>
      <c r="E161" s="15" t="s">
        <v>87</v>
      </c>
    </row>
    <row r="162" spans="4:5" x14ac:dyDescent="0.25">
      <c r="D162" s="10"/>
      <c r="E162" s="15" t="s">
        <v>88</v>
      </c>
    </row>
    <row r="163" spans="4:5" ht="31.5" x14ac:dyDescent="0.25">
      <c r="D163" s="10"/>
      <c r="E163" s="15" t="s">
        <v>89</v>
      </c>
    </row>
    <row r="164" spans="4:5" ht="31.5" x14ac:dyDescent="0.25">
      <c r="D164" s="10"/>
      <c r="E164" s="15" t="s">
        <v>90</v>
      </c>
    </row>
    <row r="165" spans="4:5" ht="31.5" x14ac:dyDescent="0.25">
      <c r="D165" s="10"/>
      <c r="E165" s="15" t="s">
        <v>91</v>
      </c>
    </row>
    <row r="166" spans="4:5" ht="31.5" x14ac:dyDescent="0.25">
      <c r="D166" s="10"/>
      <c r="E166" s="15" t="s">
        <v>92</v>
      </c>
    </row>
    <row r="167" spans="4:5" ht="31.5" x14ac:dyDescent="0.25">
      <c r="D167" s="10"/>
      <c r="E167" s="15" t="s">
        <v>93</v>
      </c>
    </row>
    <row r="168" spans="4:5" ht="31.5" x14ac:dyDescent="0.25">
      <c r="D168" s="10"/>
      <c r="E168" s="15" t="s">
        <v>94</v>
      </c>
    </row>
    <row r="169" spans="4:5" ht="31.5" x14ac:dyDescent="0.25">
      <c r="D169" s="10"/>
      <c r="E169" s="15" t="s">
        <v>95</v>
      </c>
    </row>
    <row r="170" spans="4:5" ht="31.5" x14ac:dyDescent="0.25">
      <c r="D170" s="10"/>
      <c r="E170" s="15" t="s">
        <v>96</v>
      </c>
    </row>
    <row r="171" spans="4:5" ht="31.5" x14ac:dyDescent="0.25">
      <c r="D171" s="10"/>
      <c r="E171" s="15" t="s">
        <v>97</v>
      </c>
    </row>
    <row r="172" spans="4:5" ht="31.5" x14ac:dyDescent="0.25">
      <c r="D172" s="10"/>
      <c r="E172" s="15" t="s">
        <v>98</v>
      </c>
    </row>
    <row r="173" spans="4:5" ht="31.5" x14ac:dyDescent="0.25">
      <c r="D173" s="10"/>
      <c r="E173" s="15" t="s">
        <v>99</v>
      </c>
    </row>
    <row r="174" spans="4:5" ht="31.5" x14ac:dyDescent="0.25">
      <c r="D174" s="10"/>
      <c r="E174" s="15" t="s">
        <v>100</v>
      </c>
    </row>
    <row r="175" spans="4:5" ht="31.5" x14ac:dyDescent="0.25">
      <c r="D175" s="10"/>
      <c r="E175" s="15" t="s">
        <v>101</v>
      </c>
    </row>
    <row r="176" spans="4:5" ht="31.5" x14ac:dyDescent="0.25">
      <c r="D176" s="10"/>
      <c r="E176" s="15" t="s">
        <v>102</v>
      </c>
    </row>
    <row r="177" spans="4:5" ht="31.5" x14ac:dyDescent="0.25">
      <c r="D177" s="10"/>
      <c r="E177" s="15" t="s">
        <v>103</v>
      </c>
    </row>
    <row r="178" spans="4:5" ht="31.5" x14ac:dyDescent="0.25">
      <c r="D178" s="10"/>
      <c r="E178" s="15" t="s">
        <v>104</v>
      </c>
    </row>
    <row r="179" spans="4:5" ht="31.5" x14ac:dyDescent="0.25">
      <c r="D179" s="10"/>
      <c r="E179" s="15" t="s">
        <v>105</v>
      </c>
    </row>
    <row r="180" spans="4:5" ht="31.5" x14ac:dyDescent="0.25">
      <c r="D180" s="10"/>
      <c r="E180" s="15" t="s">
        <v>106</v>
      </c>
    </row>
    <row r="181" spans="4:5" ht="31.5" x14ac:dyDescent="0.25">
      <c r="D181" s="10"/>
      <c r="E181" s="15" t="s">
        <v>107</v>
      </c>
    </row>
    <row r="182" spans="4:5" ht="31.5" x14ac:dyDescent="0.25">
      <c r="D182" s="10"/>
      <c r="E182" s="15" t="s">
        <v>108</v>
      </c>
    </row>
    <row r="183" spans="4:5" ht="31.5" x14ac:dyDescent="0.25">
      <c r="D183" s="10"/>
      <c r="E183" s="15" t="s">
        <v>109</v>
      </c>
    </row>
    <row r="184" spans="4:5" ht="31.5" x14ac:dyDescent="0.25">
      <c r="D184" s="10"/>
      <c r="E184" s="15" t="s">
        <v>110</v>
      </c>
    </row>
    <row r="185" spans="4:5" ht="31.5" x14ac:dyDescent="0.25">
      <c r="D185" s="10"/>
      <c r="E185" s="15" t="s">
        <v>111</v>
      </c>
    </row>
    <row r="186" spans="4:5" ht="31.5" x14ac:dyDescent="0.25">
      <c r="D186" s="10"/>
      <c r="E186" s="15" t="s">
        <v>112</v>
      </c>
    </row>
    <row r="187" spans="4:5" ht="31.5" x14ac:dyDescent="0.25">
      <c r="D187" s="10"/>
      <c r="E187" s="15" t="s">
        <v>113</v>
      </c>
    </row>
    <row r="188" spans="4:5" ht="31.5" x14ac:dyDescent="0.25">
      <c r="D188" s="10"/>
      <c r="E188" s="15" t="s">
        <v>114</v>
      </c>
    </row>
    <row r="189" spans="4:5" ht="31.5" x14ac:dyDescent="0.25">
      <c r="D189" s="10"/>
      <c r="E189" s="15" t="s">
        <v>115</v>
      </c>
    </row>
    <row r="190" spans="4:5" ht="31.5" x14ac:dyDescent="0.25">
      <c r="D190" s="10"/>
      <c r="E190" s="15" t="s">
        <v>116</v>
      </c>
    </row>
    <row r="191" spans="4:5" ht="31.5" x14ac:dyDescent="0.25">
      <c r="D191" s="10"/>
      <c r="E191" s="15" t="s">
        <v>117</v>
      </c>
    </row>
    <row r="192" spans="4:5" x14ac:dyDescent="0.25">
      <c r="D192" s="10"/>
      <c r="E192" s="15" t="s">
        <v>118</v>
      </c>
    </row>
    <row r="193" spans="4:5" ht="31.5" x14ac:dyDescent="0.25">
      <c r="D193" s="10"/>
      <c r="E193" s="15" t="s">
        <v>119</v>
      </c>
    </row>
    <row r="194" spans="4:5" ht="31.5" x14ac:dyDescent="0.25">
      <c r="D194" s="10"/>
      <c r="E194" s="15" t="s">
        <v>120</v>
      </c>
    </row>
    <row r="195" spans="4:5" x14ac:dyDescent="0.25">
      <c r="D195" s="10"/>
      <c r="E195" s="15" t="s">
        <v>121</v>
      </c>
    </row>
    <row r="196" spans="4:5" ht="31.5" x14ac:dyDescent="0.25">
      <c r="D196" s="10"/>
      <c r="E196" s="15" t="s">
        <v>122</v>
      </c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J1:J1048576">
      <formula1>Requirement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I18"/>
  <sheetViews>
    <sheetView workbookViewId="0">
      <selection activeCell="D5" sqref="D5"/>
    </sheetView>
  </sheetViews>
  <sheetFormatPr defaultColWidth="7.5703125" defaultRowHeight="15.75" x14ac:dyDescent="0.25"/>
  <cols>
    <col min="1" max="1" width="23.7109375" style="10" customWidth="1"/>
    <col min="2" max="2" width="15.85546875" style="10" customWidth="1"/>
    <col min="3" max="3" width="35.28515625" style="10" customWidth="1"/>
    <col min="4" max="4" width="20.85546875" style="10" customWidth="1"/>
    <col min="5" max="9" width="12.5703125" style="18" customWidth="1"/>
    <col min="10" max="16384" width="7.5703125" style="10"/>
  </cols>
  <sheetData>
    <row r="1" spans="1:9" s="9" customFormat="1" x14ac:dyDescent="0.25">
      <c r="A1" s="9" t="s">
        <v>147</v>
      </c>
      <c r="B1" s="9" t="s">
        <v>148</v>
      </c>
      <c r="C1" s="9" t="s">
        <v>149</v>
      </c>
      <c r="D1" s="14" t="s">
        <v>125</v>
      </c>
      <c r="E1" s="17" t="s">
        <v>156</v>
      </c>
      <c r="F1" s="17" t="s">
        <v>157</v>
      </c>
      <c r="G1" s="17" t="s">
        <v>158</v>
      </c>
      <c r="H1" s="17" t="s">
        <v>159</v>
      </c>
      <c r="I1" s="17" t="s">
        <v>160</v>
      </c>
    </row>
    <row r="2" spans="1:9" s="9" customFormat="1" x14ac:dyDescent="0.25">
      <c r="A2" s="9" t="s">
        <v>150</v>
      </c>
      <c r="B2" s="9" t="s">
        <v>151</v>
      </c>
      <c r="C2" s="9" t="s">
        <v>152</v>
      </c>
      <c r="D2" s="14" t="s">
        <v>169</v>
      </c>
      <c r="E2" s="17" t="s">
        <v>155</v>
      </c>
      <c r="F2" s="17" t="s">
        <v>161</v>
      </c>
      <c r="G2" s="17" t="s">
        <v>162</v>
      </c>
      <c r="H2" s="17" t="s">
        <v>163</v>
      </c>
      <c r="I2" s="17" t="s">
        <v>164</v>
      </c>
    </row>
    <row r="3" spans="1:9" ht="31.5" x14ac:dyDescent="0.25">
      <c r="A3" s="10" t="s">
        <v>154</v>
      </c>
      <c r="B3" s="13" t="s">
        <v>176</v>
      </c>
      <c r="C3" s="15" t="s">
        <v>177</v>
      </c>
      <c r="D3" s="10" t="str">
        <f>A3</f>
        <v>Investigation</v>
      </c>
      <c r="E3" s="18" t="s">
        <v>178</v>
      </c>
    </row>
    <row r="4" spans="1:9" x14ac:dyDescent="0.25">
      <c r="A4" s="10" t="s">
        <v>179</v>
      </c>
      <c r="B4" s="10" t="s">
        <v>180</v>
      </c>
      <c r="C4" s="10" t="s">
        <v>181</v>
      </c>
      <c r="D4" s="10" t="str">
        <f>A4</f>
        <v>CombatSkill</v>
      </c>
      <c r="E4" s="18" t="s">
        <v>165</v>
      </c>
    </row>
    <row r="5" spans="1:9" x14ac:dyDescent="0.25">
      <c r="A5" s="10" t="s">
        <v>184</v>
      </c>
      <c r="B5" s="13" t="s">
        <v>185</v>
      </c>
      <c r="C5" s="15" t="s">
        <v>183</v>
      </c>
      <c r="D5" s="10" t="str">
        <f>A5</f>
        <v>EmergencyWoundCare</v>
      </c>
      <c r="E5" s="18" t="s">
        <v>186</v>
      </c>
    </row>
    <row r="6" spans="1:9" ht="31.5" x14ac:dyDescent="0.25">
      <c r="A6" s="10" t="s">
        <v>188</v>
      </c>
      <c r="B6" s="13" t="s">
        <v>189</v>
      </c>
      <c r="C6" s="15" t="s">
        <v>190</v>
      </c>
      <c r="D6" s="10" t="str">
        <f>A6</f>
        <v>Faith</v>
      </c>
      <c r="E6" s="18" t="s">
        <v>191</v>
      </c>
    </row>
    <row r="7" spans="1:9" x14ac:dyDescent="0.25">
      <c r="B7" s="13"/>
      <c r="C7" s="15"/>
      <c r="D7" s="15"/>
    </row>
    <row r="8" spans="1:9" x14ac:dyDescent="0.25">
      <c r="B8" s="13"/>
      <c r="C8" s="15"/>
      <c r="D8" s="15"/>
    </row>
    <row r="9" spans="1:9" x14ac:dyDescent="0.25">
      <c r="B9" s="13"/>
      <c r="C9" s="15"/>
      <c r="D9" s="15"/>
    </row>
    <row r="10" spans="1:9" x14ac:dyDescent="0.25">
      <c r="B10" s="13"/>
      <c r="C10" s="15"/>
      <c r="D10" s="15"/>
    </row>
    <row r="11" spans="1:9" x14ac:dyDescent="0.25">
      <c r="B11" s="13"/>
      <c r="C11" s="15"/>
      <c r="D11" s="15"/>
    </row>
    <row r="18" spans="1:1" x14ac:dyDescent="0.25">
      <c r="A18" s="11" t="s">
        <v>153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D202"/>
  <sheetViews>
    <sheetView workbookViewId="0">
      <selection activeCell="B3" sqref="B3:B4"/>
    </sheetView>
  </sheetViews>
  <sheetFormatPr defaultColWidth="7.5703125" defaultRowHeight="15.75" x14ac:dyDescent="0.25"/>
  <cols>
    <col min="1" max="1" width="7.5703125" style="10"/>
    <col min="2" max="2" width="112" style="10" customWidth="1"/>
    <col min="3" max="3" width="7.5703125" style="10"/>
    <col min="4" max="4" width="11.5703125" style="15" customWidth="1"/>
    <col min="5" max="16384" width="7.5703125" style="10"/>
  </cols>
  <sheetData>
    <row r="1" spans="1:4" s="9" customFormat="1" x14ac:dyDescent="0.25">
      <c r="A1" s="9" t="s">
        <v>123</v>
      </c>
      <c r="B1" s="9" t="s">
        <v>126</v>
      </c>
      <c r="C1" s="9" t="s">
        <v>145</v>
      </c>
      <c r="D1" s="14" t="s">
        <v>125</v>
      </c>
    </row>
    <row r="2" spans="1:4" s="9" customFormat="1" ht="15" customHeight="1" x14ac:dyDescent="0.25">
      <c r="A2" s="9" t="s">
        <v>77</v>
      </c>
      <c r="B2" s="9" t="s">
        <v>127</v>
      </c>
      <c r="C2" s="9" t="s">
        <v>144</v>
      </c>
      <c r="D2" s="14" t="s">
        <v>82</v>
      </c>
    </row>
    <row r="3" spans="1:4" ht="110.25" x14ac:dyDescent="0.25">
      <c r="A3" s="10">
        <v>1</v>
      </c>
      <c r="B3" s="16" t="s">
        <v>193</v>
      </c>
      <c r="C3" s="10">
        <v>1</v>
      </c>
      <c r="D3" s="10" t="s">
        <v>195</v>
      </c>
    </row>
    <row r="4" spans="1:4" ht="94.5" x14ac:dyDescent="0.25">
      <c r="A4" s="10">
        <v>2</v>
      </c>
      <c r="B4" s="16" t="s">
        <v>194</v>
      </c>
      <c r="C4" s="10">
        <v>1</v>
      </c>
      <c r="D4" s="10" t="s">
        <v>196</v>
      </c>
    </row>
    <row r="5" spans="1:4" ht="110.25" x14ac:dyDescent="0.25">
      <c r="A5" s="10">
        <v>3</v>
      </c>
      <c r="B5" s="16" t="s">
        <v>193</v>
      </c>
      <c r="C5" s="10">
        <v>2</v>
      </c>
      <c r="D5" s="10" t="s">
        <v>198</v>
      </c>
    </row>
    <row r="6" spans="1:4" ht="94.5" x14ac:dyDescent="0.25">
      <c r="A6" s="10">
        <v>4</v>
      </c>
      <c r="B6" s="16" t="s">
        <v>194</v>
      </c>
      <c r="C6" s="10">
        <v>2</v>
      </c>
      <c r="D6" s="10" t="s">
        <v>197</v>
      </c>
    </row>
    <row r="7" spans="1:4" ht="110.25" x14ac:dyDescent="0.25">
      <c r="A7" s="10">
        <v>5</v>
      </c>
      <c r="B7" s="16" t="s">
        <v>193</v>
      </c>
      <c r="C7" s="10">
        <v>3</v>
      </c>
      <c r="D7" s="10" t="s">
        <v>199</v>
      </c>
    </row>
    <row r="8" spans="1:4" ht="94.5" x14ac:dyDescent="0.25">
      <c r="A8" s="10">
        <v>6</v>
      </c>
      <c r="B8" s="16" t="s">
        <v>194</v>
      </c>
      <c r="C8" s="10">
        <v>3</v>
      </c>
      <c r="D8" s="10" t="s">
        <v>200</v>
      </c>
    </row>
    <row r="9" spans="1:4" ht="110.25" x14ac:dyDescent="0.25">
      <c r="A9" s="10">
        <v>7</v>
      </c>
      <c r="B9" s="16" t="s">
        <v>193</v>
      </c>
      <c r="C9" s="10">
        <v>4</v>
      </c>
      <c r="D9" s="10" t="s">
        <v>201</v>
      </c>
    </row>
    <row r="10" spans="1:4" ht="94.5" x14ac:dyDescent="0.25">
      <c r="A10" s="10">
        <v>8</v>
      </c>
      <c r="B10" s="16" t="s">
        <v>194</v>
      </c>
      <c r="C10" s="10">
        <v>4</v>
      </c>
      <c r="D10" s="10" t="s">
        <v>202</v>
      </c>
    </row>
    <row r="11" spans="1:4" x14ac:dyDescent="0.25">
      <c r="B11" s="16"/>
      <c r="D11" s="10"/>
    </row>
    <row r="12" spans="1:4" x14ac:dyDescent="0.25">
      <c r="B12" s="16"/>
      <c r="D12" s="10"/>
    </row>
    <row r="13" spans="1:4" x14ac:dyDescent="0.25">
      <c r="B13" s="16"/>
      <c r="D13" s="10"/>
    </row>
    <row r="14" spans="1:4" x14ac:dyDescent="0.25">
      <c r="B14" s="16"/>
      <c r="D14" s="10"/>
    </row>
    <row r="15" spans="1:4" x14ac:dyDescent="0.25">
      <c r="B15" s="16"/>
      <c r="D15" s="10"/>
    </row>
    <row r="16" spans="1:4" x14ac:dyDescent="0.25">
      <c r="B16" s="16"/>
      <c r="D16" s="10"/>
    </row>
    <row r="17" spans="1:4" x14ac:dyDescent="0.25">
      <c r="B17" s="16"/>
      <c r="D17" s="10"/>
    </row>
    <row r="19" spans="1:4" x14ac:dyDescent="0.25">
      <c r="A19" s="11" t="s">
        <v>0</v>
      </c>
      <c r="C19" s="11"/>
    </row>
    <row r="163" spans="4:4" ht="31.5" x14ac:dyDescent="0.25">
      <c r="D163" s="15" t="s">
        <v>83</v>
      </c>
    </row>
    <row r="164" spans="4:4" ht="31.5" x14ac:dyDescent="0.25">
      <c r="D164" s="15" t="s">
        <v>84</v>
      </c>
    </row>
    <row r="165" spans="4:4" ht="31.5" x14ac:dyDescent="0.25">
      <c r="D165" s="15" t="s">
        <v>85</v>
      </c>
    </row>
    <row r="166" spans="4:4" ht="31.5" x14ac:dyDescent="0.25">
      <c r="D166" s="15" t="s">
        <v>86</v>
      </c>
    </row>
    <row r="167" spans="4:4" ht="31.5" x14ac:dyDescent="0.25">
      <c r="D167" s="15" t="s">
        <v>87</v>
      </c>
    </row>
    <row r="168" spans="4:4" x14ac:dyDescent="0.25">
      <c r="D168" s="15" t="s">
        <v>88</v>
      </c>
    </row>
    <row r="169" spans="4:4" ht="31.5" x14ac:dyDescent="0.25">
      <c r="D169" s="15" t="s">
        <v>89</v>
      </c>
    </row>
    <row r="170" spans="4:4" ht="31.5" x14ac:dyDescent="0.25">
      <c r="D170" s="15" t="s">
        <v>90</v>
      </c>
    </row>
    <row r="171" spans="4:4" ht="31.5" x14ac:dyDescent="0.25">
      <c r="D171" s="15" t="s">
        <v>91</v>
      </c>
    </row>
    <row r="172" spans="4:4" ht="31.5" x14ac:dyDescent="0.25">
      <c r="D172" s="15" t="s">
        <v>92</v>
      </c>
    </row>
    <row r="173" spans="4:4" ht="31.5" x14ac:dyDescent="0.25">
      <c r="D173" s="15" t="s">
        <v>93</v>
      </c>
    </row>
    <row r="174" spans="4:4" ht="31.5" x14ac:dyDescent="0.25">
      <c r="D174" s="15" t="s">
        <v>94</v>
      </c>
    </row>
    <row r="175" spans="4:4" ht="31.5" x14ac:dyDescent="0.25">
      <c r="D175" s="15" t="s">
        <v>95</v>
      </c>
    </row>
    <row r="176" spans="4:4" ht="31.5" x14ac:dyDescent="0.25">
      <c r="D176" s="15" t="s">
        <v>96</v>
      </c>
    </row>
    <row r="177" spans="4:4" ht="31.5" x14ac:dyDescent="0.25">
      <c r="D177" s="15" t="s">
        <v>97</v>
      </c>
    </row>
    <row r="178" spans="4:4" ht="31.5" x14ac:dyDescent="0.25">
      <c r="D178" s="15" t="s">
        <v>98</v>
      </c>
    </row>
    <row r="179" spans="4:4" ht="31.5" x14ac:dyDescent="0.25">
      <c r="D179" s="15" t="s">
        <v>99</v>
      </c>
    </row>
    <row r="180" spans="4:4" ht="31.5" x14ac:dyDescent="0.25">
      <c r="D180" s="15" t="s">
        <v>100</v>
      </c>
    </row>
    <row r="181" spans="4:4" ht="31.5" x14ac:dyDescent="0.25">
      <c r="D181" s="15" t="s">
        <v>101</v>
      </c>
    </row>
    <row r="182" spans="4:4" ht="31.5" x14ac:dyDescent="0.25">
      <c r="D182" s="15" t="s">
        <v>102</v>
      </c>
    </row>
    <row r="183" spans="4:4" ht="31.5" x14ac:dyDescent="0.25">
      <c r="D183" s="15" t="s">
        <v>103</v>
      </c>
    </row>
    <row r="184" spans="4:4" ht="31.5" x14ac:dyDescent="0.25">
      <c r="D184" s="15" t="s">
        <v>104</v>
      </c>
    </row>
    <row r="185" spans="4:4" ht="31.5" x14ac:dyDescent="0.25">
      <c r="D185" s="15" t="s">
        <v>105</v>
      </c>
    </row>
    <row r="186" spans="4:4" ht="31.5" x14ac:dyDescent="0.25">
      <c r="D186" s="15" t="s">
        <v>106</v>
      </c>
    </row>
    <row r="187" spans="4:4" ht="31.5" x14ac:dyDescent="0.25">
      <c r="D187" s="15" t="s">
        <v>107</v>
      </c>
    </row>
    <row r="188" spans="4:4" ht="31.5" x14ac:dyDescent="0.25">
      <c r="D188" s="15" t="s">
        <v>108</v>
      </c>
    </row>
    <row r="189" spans="4:4" ht="31.5" x14ac:dyDescent="0.25">
      <c r="D189" s="15" t="s">
        <v>109</v>
      </c>
    </row>
    <row r="190" spans="4:4" ht="31.5" x14ac:dyDescent="0.25">
      <c r="D190" s="15" t="s">
        <v>110</v>
      </c>
    </row>
    <row r="191" spans="4:4" ht="31.5" x14ac:dyDescent="0.25">
      <c r="D191" s="15" t="s">
        <v>111</v>
      </c>
    </row>
    <row r="192" spans="4:4" ht="31.5" x14ac:dyDescent="0.25">
      <c r="D192" s="15" t="s">
        <v>112</v>
      </c>
    </row>
    <row r="193" spans="4:4" ht="31.5" x14ac:dyDescent="0.25">
      <c r="D193" s="15" t="s">
        <v>113</v>
      </c>
    </row>
    <row r="194" spans="4:4" ht="31.5" x14ac:dyDescent="0.25">
      <c r="D194" s="15" t="s">
        <v>114</v>
      </c>
    </row>
    <row r="195" spans="4:4" ht="31.5" x14ac:dyDescent="0.25">
      <c r="D195" s="15" t="s">
        <v>115</v>
      </c>
    </row>
    <row r="196" spans="4:4" ht="31.5" x14ac:dyDescent="0.25">
      <c r="D196" s="15" t="s">
        <v>116</v>
      </c>
    </row>
    <row r="197" spans="4:4" ht="31.5" x14ac:dyDescent="0.25">
      <c r="D197" s="15" t="s">
        <v>117</v>
      </c>
    </row>
    <row r="198" spans="4:4" x14ac:dyDescent="0.25">
      <c r="D198" s="15" t="s">
        <v>118</v>
      </c>
    </row>
    <row r="199" spans="4:4" ht="31.5" x14ac:dyDescent="0.25">
      <c r="D199" s="15" t="s">
        <v>119</v>
      </c>
    </row>
    <row r="200" spans="4:4" ht="31.5" x14ac:dyDescent="0.25">
      <c r="D200" s="15" t="s">
        <v>120</v>
      </c>
    </row>
    <row r="201" spans="4:4" x14ac:dyDescent="0.25">
      <c r="D201" s="15" t="s">
        <v>121</v>
      </c>
    </row>
    <row r="202" spans="4:4" ht="31.5" x14ac:dyDescent="0.25">
      <c r="D202" s="15" t="s">
        <v>122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 x14ac:dyDescent="0.25">
      <c r="A1" s="2" t="s">
        <v>70</v>
      </c>
    </row>
    <row r="2" spans="1:4" ht="16.5" x14ac:dyDescent="0.25">
      <c r="A2" s="4" t="s">
        <v>71</v>
      </c>
    </row>
    <row r="3" spans="1:4" ht="16.5" x14ac:dyDescent="0.25">
      <c r="A3" s="4" t="s">
        <v>72</v>
      </c>
    </row>
    <row r="4" spans="1:4" ht="16.5" x14ac:dyDescent="0.25">
      <c r="A4" s="4" t="s">
        <v>73</v>
      </c>
    </row>
    <row r="5" spans="1:4" ht="16.5" x14ac:dyDescent="0.25">
      <c r="A5" s="4" t="s">
        <v>74</v>
      </c>
    </row>
    <row r="6" spans="1:4" ht="16.5" x14ac:dyDescent="0.25">
      <c r="A6" s="4" t="s">
        <v>75</v>
      </c>
    </row>
    <row r="7" spans="1:4" ht="16.5" x14ac:dyDescent="0.25">
      <c r="A7" s="4"/>
    </row>
    <row r="8" spans="1:4" x14ac:dyDescent="0.25">
      <c r="D8" s="6"/>
    </row>
    <row r="10" spans="1:4" x14ac:dyDescent="0.25">
      <c r="D10" s="6"/>
    </row>
    <row r="13" spans="1:4" x14ac:dyDescent="0.25">
      <c r="D13" s="6"/>
    </row>
    <row r="15" spans="1:4" x14ac:dyDescent="0.25">
      <c r="D15" s="6"/>
    </row>
    <row r="55" spans="1:13" x14ac:dyDescent="0.25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 x14ac:dyDescent="0.25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 x14ac:dyDescent="0.25">
      <c r="A59" s="5" t="s">
        <v>28</v>
      </c>
      <c r="B59" s="5" t="s">
        <v>37</v>
      </c>
      <c r="C59" s="5" t="s">
        <v>22</v>
      </c>
      <c r="D59" s="5" t="s">
        <v>52</v>
      </c>
    </row>
    <row r="60" spans="1:13" x14ac:dyDescent="0.25">
      <c r="A60" s="5" t="s">
        <v>29</v>
      </c>
      <c r="B60" s="5" t="s">
        <v>1</v>
      </c>
      <c r="C60" s="5" t="s">
        <v>22</v>
      </c>
      <c r="D60" s="5" t="s">
        <v>53</v>
      </c>
    </row>
    <row r="61" spans="1:13" x14ac:dyDescent="0.25">
      <c r="A61" s="5" t="s">
        <v>30</v>
      </c>
      <c r="B61" s="5" t="s">
        <v>2</v>
      </c>
      <c r="C61" s="5" t="s">
        <v>22</v>
      </c>
      <c r="D61" s="5" t="s">
        <v>54</v>
      </c>
    </row>
    <row r="62" spans="1:13" x14ac:dyDescent="0.25">
      <c r="A62" s="5" t="s">
        <v>31</v>
      </c>
      <c r="B62" s="5" t="s">
        <v>3</v>
      </c>
      <c r="C62" s="5" t="s">
        <v>22</v>
      </c>
      <c r="D62" s="5" t="s">
        <v>55</v>
      </c>
    </row>
    <row r="63" spans="1:13" x14ac:dyDescent="0.25">
      <c r="A63" s="5" t="s">
        <v>32</v>
      </c>
      <c r="B63" s="5" t="s">
        <v>4</v>
      </c>
      <c r="C63" s="5" t="s">
        <v>22</v>
      </c>
      <c r="D63" s="5" t="s">
        <v>56</v>
      </c>
    </row>
    <row r="64" spans="1:13" x14ac:dyDescent="0.25">
      <c r="A64" s="5" t="s">
        <v>33</v>
      </c>
      <c r="B64" s="5" t="s">
        <v>5</v>
      </c>
      <c r="C64" s="5" t="s">
        <v>22</v>
      </c>
      <c r="D64" s="5" t="s">
        <v>57</v>
      </c>
    </row>
    <row r="65" spans="1:4" x14ac:dyDescent="0.25">
      <c r="A65" s="5" t="s">
        <v>45</v>
      </c>
      <c r="B65" s="5" t="s">
        <v>38</v>
      </c>
      <c r="C65" s="5" t="s">
        <v>22</v>
      </c>
      <c r="D65" s="5" t="s">
        <v>58</v>
      </c>
    </row>
    <row r="66" spans="1:4" x14ac:dyDescent="0.25">
      <c r="A66" s="5" t="s">
        <v>34</v>
      </c>
      <c r="B66" s="5" t="s">
        <v>39</v>
      </c>
      <c r="C66" s="5" t="s">
        <v>22</v>
      </c>
      <c r="D66" s="5" t="s">
        <v>59</v>
      </c>
    </row>
    <row r="67" spans="1:4" x14ac:dyDescent="0.25">
      <c r="A67" s="5" t="s">
        <v>43</v>
      </c>
      <c r="B67" s="5" t="s">
        <v>6</v>
      </c>
      <c r="C67" s="5" t="s">
        <v>22</v>
      </c>
      <c r="D67" s="5" t="s">
        <v>60</v>
      </c>
    </row>
    <row r="68" spans="1:4" x14ac:dyDescent="0.25">
      <c r="A68" s="5" t="s">
        <v>46</v>
      </c>
      <c r="B68" s="5" t="s">
        <v>35</v>
      </c>
      <c r="C68" s="5" t="s">
        <v>22</v>
      </c>
      <c r="D68" s="5" t="s">
        <v>61</v>
      </c>
    </row>
    <row r="69" spans="1:4" x14ac:dyDescent="0.25">
      <c r="A69" s="5" t="s">
        <v>44</v>
      </c>
      <c r="B69" s="5" t="s">
        <v>7</v>
      </c>
      <c r="C69" s="5" t="s">
        <v>22</v>
      </c>
      <c r="D69" s="5" t="s">
        <v>62</v>
      </c>
    </row>
    <row r="70" spans="1:4" x14ac:dyDescent="0.25">
      <c r="A70" s="5" t="s">
        <v>47</v>
      </c>
      <c r="B70" s="5" t="s">
        <v>36</v>
      </c>
      <c r="C70" s="5" t="s">
        <v>22</v>
      </c>
      <c r="D70" s="5" t="s">
        <v>63</v>
      </c>
    </row>
    <row r="71" spans="1:4" x14ac:dyDescent="0.25">
      <c r="A71" s="5" t="s">
        <v>41</v>
      </c>
      <c r="B71" s="5" t="s">
        <v>8</v>
      </c>
      <c r="C71" s="5" t="s">
        <v>22</v>
      </c>
      <c r="D71" s="5" t="s">
        <v>64</v>
      </c>
    </row>
    <row r="72" spans="1:4" x14ac:dyDescent="0.25">
      <c r="A72" s="5" t="s">
        <v>42</v>
      </c>
      <c r="B72" s="5" t="s">
        <v>27</v>
      </c>
      <c r="C72" s="5" t="s">
        <v>22</v>
      </c>
      <c r="D72" s="5" t="s">
        <v>65</v>
      </c>
    </row>
    <row r="73" spans="1:4" x14ac:dyDescent="0.25">
      <c r="A73" s="5" t="s">
        <v>26</v>
      </c>
      <c r="B73" s="5" t="s">
        <v>9</v>
      </c>
      <c r="C73" s="5" t="s">
        <v>22</v>
      </c>
      <c r="D73" s="5" t="s">
        <v>66</v>
      </c>
    </row>
    <row r="74" spans="1:4" x14ac:dyDescent="0.25">
      <c r="A74" s="5" t="s">
        <v>25</v>
      </c>
      <c r="B74" s="5" t="s">
        <v>40</v>
      </c>
      <c r="C74" s="5" t="s">
        <v>22</v>
      </c>
      <c r="D74" s="5" t="s">
        <v>67</v>
      </c>
    </row>
    <row r="75" spans="1:4" x14ac:dyDescent="0.25">
      <c r="A75" s="5" t="s">
        <v>48</v>
      </c>
      <c r="B75" s="5" t="s">
        <v>10</v>
      </c>
      <c r="C75" s="5" t="s">
        <v>22</v>
      </c>
      <c r="D75" s="5" t="s">
        <v>68</v>
      </c>
    </row>
    <row r="76" spans="1:4" x14ac:dyDescent="0.25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D11"/>
  <sheetViews>
    <sheetView workbookViewId="0">
      <selection activeCell="B29" sqref="B29"/>
    </sheetView>
  </sheetViews>
  <sheetFormatPr defaultRowHeight="15.75" x14ac:dyDescent="0.25"/>
  <cols>
    <col min="1" max="1" width="15.140625" customWidth="1"/>
    <col min="2" max="2" width="22.5703125" customWidth="1"/>
    <col min="3" max="3" width="21.5703125" customWidth="1"/>
    <col min="4" max="4" width="24.5703125" customWidth="1"/>
    <col min="5" max="5" width="11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4" x14ac:dyDescent="0.25">
      <c r="A1" s="7" t="s">
        <v>78</v>
      </c>
      <c r="B1" s="8" t="s">
        <v>130</v>
      </c>
    </row>
    <row r="2" spans="1:4" x14ac:dyDescent="0.25">
      <c r="A2" s="7" t="s">
        <v>78</v>
      </c>
      <c r="B2" s="8" t="s">
        <v>131</v>
      </c>
    </row>
    <row r="3" spans="1:4" x14ac:dyDescent="0.25">
      <c r="A3" s="7" t="s">
        <v>167</v>
      </c>
      <c r="B3" t="s">
        <v>168</v>
      </c>
      <c r="C3" t="s">
        <v>172</v>
      </c>
    </row>
    <row r="4" spans="1:4" x14ac:dyDescent="0.25">
      <c r="B4" s="8"/>
    </row>
    <row r="5" spans="1:4" x14ac:dyDescent="0.25">
      <c r="A5" s="1"/>
    </row>
    <row r="9" spans="1:4" ht="16.5" x14ac:dyDescent="0.25">
      <c r="A9" s="2"/>
      <c r="B9" s="2" t="s">
        <v>79</v>
      </c>
      <c r="C9" s="2" t="s">
        <v>135</v>
      </c>
      <c r="D9" s="2" t="s">
        <v>76</v>
      </c>
    </row>
    <row r="10" spans="1:4" ht="47.25" x14ac:dyDescent="0.25">
      <c r="B10" s="6"/>
      <c r="C10" t="s">
        <v>136</v>
      </c>
      <c r="D10" s="6" t="s">
        <v>137</v>
      </c>
    </row>
    <row r="11" spans="1:4" x14ac:dyDescent="0.25">
      <c r="B11" s="6"/>
      <c r="C11" t="s">
        <v>138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Role</vt:lpstr>
      <vt:lpstr>Talent</vt:lpstr>
      <vt:lpstr>RolePlot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2023-05-13T14:08:08Z</dcterms:modified>
</cp:coreProperties>
</file>