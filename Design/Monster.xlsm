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8" l="1"/>
  <c r="A7" i="8"/>
  <c r="A8" i="8"/>
  <c r="A9" i="8"/>
  <c r="A10" i="8"/>
  <c r="A6" i="8" l="1"/>
  <c r="C10" i="8" l="1"/>
  <c r="C9" i="8"/>
  <c r="C8" i="8"/>
  <c r="C7" i="8"/>
  <c r="C6" i="8"/>
  <c r="C4" i="8" l="1"/>
  <c r="C3" i="8"/>
  <c r="E13" i="1"/>
  <c r="E7" i="1"/>
  <c r="E14" i="1"/>
  <c r="E12" i="1"/>
  <c r="E11" i="1"/>
  <c r="E10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<sst xmlns="http://schemas.openxmlformats.org/spreadsheetml/2006/main" count="272" uniqueCount="215">
  <si>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</si>
  <si>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</si>
  <si>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</si>
  <si>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</si>
  <si>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</si>
  <si>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</si>
  <si>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</si>
  <si>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</si>
  <si>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</si>
  <si>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</si>
  <si>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</si>
  <si>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</si>
  <si>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</si>
  <si>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</si>
  <si>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</si>
  <si>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</si>
  <si>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</si>
  <si>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</si>
  <si>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</si>
  <si>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</si>
  <si>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</si>
  <si>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</si>
  <si>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</si>
  <si>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</si>
  <si>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</si>
  <si>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</si>
  <si>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</si>
  <si>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</si>
  <si>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</si>
  <si>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</si>
  <si>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</si>
  <si>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</si>
  <si>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</si>
  <si>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</si>
  <si>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</si>
  <si>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</si>
  <si>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</si>
  <si>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</si>
  <si>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</si>
  <si>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</si>
  <si>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</si>
  <si>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</si>
  <si>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</si>
  <si>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</si>
  <si>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</si>
  <si>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</si>
  <si>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</si>
  <si>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</si>
  <si>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</si>
  <si>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</si>
  <si>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</si>
  <si>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</si>
  <si>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</si>
  <si>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</si>
  <si>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</si>
  <si>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</si>
  <si>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</si>
  <si>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</si>
  <si>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</si>
  <si>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</si>
  <si>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</si>
  <si>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</si>
  <si>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</si>
  <si>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</si>
  <si>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</si>
  <si>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</si>
  <si>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</si>
  <si>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</si>
  <si>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</si>
  <si>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</si>
  <si>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</si>
  <si>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</si>
  <si>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</si>
  <si>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</si>
  <si>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</si>
  <si>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</si>
  <si>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</si>
  <si>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</si>
  <si>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</si>
  <si>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</si>
  <si>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</si>
  <si>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</si>
  <si>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</si>
  <si>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</si>
  <si>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</si>
  <si>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</si>
  <si>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</si>
  <si>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</si>
  <si>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</si>
  <si>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</si>
  <si>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</si>
  <si>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</si>
  <si>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</si>
  <si>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</si>
  <si>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</si>
  <si>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</si>
  <si>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</si>
  <si>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</si>
  <si>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</si>
  <si>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</si>
  <si>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</si>
  <si>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</si>
  <si>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</si>
  <si>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</si>
  <si>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</si>
  <si>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</si>
  <si>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</si>
  <si>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</si>
  <si>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</si>
  <si>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</si>
  <si>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</si>
  <si>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</si>
  <si>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</si>
  <si>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</si>
  <si>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</si>
  <si>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</si>
  <si>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</si>
  <si>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</si>
  <si>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</si>
  <si>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</si>
  <si>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</si>
  <si>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</si>
  <si>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</si>
  <si>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</si>
  <si>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</si>
  <si>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</si>
  <si>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</si>
  <si>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</si>
  <si>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</si>
  <si>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</si>
  <si>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</si>
  <si>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</si>
  <si>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</si>
  <si>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</si>
  <si>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</si>
  <si>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</si>
  <si>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</si>
  <si>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</si>
  <si>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</si>
  <si>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</si>
  <si>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</si>
  <si>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</si>
  <si>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</si>
  <si>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</si>
  <si>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</si>
  <si>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</si>
  <si>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</si>
  <si>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</si>
  <si>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</si>
  <si>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</si>
  <si>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</si>
  <si>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</si>
  <si>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</si>
  <si>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</si>
  <si>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Stun</t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</si>
  <si>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</si>
  <si>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</si>
  <si>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</si>
  <si>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</si>
  <si>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</si>
  <si>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</si>
  <si>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</si>
  <si>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</si>
  <si>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</si>
  <si>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</si>
  <si>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Stun</t>
    <phoneticPr fontId="1" type="noConversion"/>
  </si>
  <si>
    <t>造成暈眩</t>
    <phoneticPr fontId="1" type="noConversion"/>
  </si>
  <si>
    <t>Bleed</t>
    <phoneticPr fontId="1" type="noConversion"/>
  </si>
  <si>
    <t>造成流血</t>
    <phoneticPr fontId="1" type="noConversion"/>
  </si>
  <si>
    <t>Flee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</si>
  <si>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</si>
  <si>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</si>
  <si>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</si>
  <si>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</si>
  <si>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</si>
  <si>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</si>
  <si>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</si>
  <si>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</si>
  <si>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</si>
  <si>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</si>
  <si>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</si>
  <si>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</si>
  <si>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</si>
  <si>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</si>
  <si>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</si>
  <si>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</si>
  <si>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</si>
  <si>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</si>
  <si>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</si>
  <si>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</si>
  <si>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</si>
  <si>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</si>
  <si>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</si>
  <si>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</si>
  <si>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</si>
  <si>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</si>
  <si>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</si>
  <si>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</si>
  <si>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</si>
  <si>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</si>
  <si>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</si>
  <si>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HP</t>
    <phoneticPr fontId="1" type="noConversion"/>
  </si>
  <si>
    <t>SanP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</si>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</sst>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F7" sqref="F7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203</v>
      </c>
      <c r="G1" s="9" t="s">
        <v>200</v>
      </c>
      <c r="H1" s="9" t="s">
        <v>189</v>
      </c>
      <c r="I1" s="17" t="s">
        <v>133</v>
      </c>
      <c r="J1" s="17" t="s">
        <v>193</v>
      </c>
      <c r="K1" s="17" t="s">
        <v>134</v>
      </c>
      <c r="L1" s="17" t="s">
        <v>194</v>
      </c>
      <c r="M1" s="17" t="s">
        <v>196</v>
      </c>
      <c r="N1" s="17" t="s">
        <v>195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204</v>
      </c>
      <c r="G2" s="9" t="s">
        <v>127</v>
      </c>
      <c r="H2" s="9" t="s">
        <v>190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181</v>
      </c>
      <c r="C4" s="16" t="s">
        <v>182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211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188</v>
      </c>
      <c r="D7" s="13">
        <v>1</v>
      </c>
      <c r="E7" s="10" t="str">
        <f t="shared" ref="E7" si="0">"monster"&amp;A7</f>
        <v>monster1</v>
      </c>
      <c r="F7" s="10" t="s">
        <v>205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212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184</v>
      </c>
      <c r="D10" s="13">
        <v>1</v>
      </c>
      <c r="E10" s="10" t="str">
        <f>"monster"&amp;A10</f>
        <v>monster1001</v>
      </c>
      <c r="F10" s="10"/>
      <c r="G10" s="10">
        <v>100</v>
      </c>
      <c r="H10" s="10" t="s">
        <v>192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185</v>
      </c>
      <c r="D11" s="13">
        <v>1</v>
      </c>
      <c r="E11" s="10" t="str">
        <f>"monster"&amp;A11</f>
        <v>monster1002</v>
      </c>
      <c r="F11" s="10"/>
      <c r="G11" s="10">
        <v>100</v>
      </c>
      <c r="H11" s="10" t="s">
        <v>191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183</v>
      </c>
      <c r="D12" s="13">
        <v>1</v>
      </c>
      <c r="E12" s="10" t="str">
        <f>"monster"&amp;A12</f>
        <v>monster1003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186</v>
      </c>
      <c r="D13" s="13">
        <v>1</v>
      </c>
      <c r="E13" s="10" t="str">
        <f>"monster"&amp;A13</f>
        <v>monster1004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187</v>
      </c>
      <c r="D14" s="13">
        <v>1</v>
      </c>
      <c r="E14" s="10" t="str">
        <f>"monster"&amp;A14</f>
        <v>monster1005</v>
      </c>
      <c r="F14" s="10"/>
      <c r="G14" s="10">
        <v>100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199"/>
  <sheetViews>
    <sheetView workbookViewId="0">
      <selection activeCell="C7" sqref="C7:E8"/>
    </sheetView>
  </sheetViews>
  <sheetFormatPr defaultColWidth="7.5703125" defaultRowHeight="15.75"/>
  <cols>
    <col min="1" max="1" width="7.42578125" style="10" customWidth="1"/>
    <col min="2" max="2" width="11.140625" style="10" customWidth="1"/>
    <col min="3" max="3" width="15.85546875" style="10" customWidth="1"/>
    <col min="4" max="4" width="13.28515625" style="18" customWidth="1"/>
    <col min="5" max="5" width="11.28515625" style="23" customWidth="1"/>
    <col min="6" max="6" width="13.28515625" style="18" customWidth="1"/>
    <col min="7" max="7" width="15.85546875" style="10" customWidth="1"/>
    <col min="8" max="8" width="15.140625" style="18" customWidth="1"/>
    <col min="9" max="9" width="19.140625" style="18" customWidth="1"/>
    <col min="10" max="10" width="13.28515625" style="18" customWidth="1"/>
    <col min="11" max="11" width="15.85546875" style="10" customWidth="1"/>
    <col min="12" max="12" width="15.140625" style="18" customWidth="1"/>
    <col min="13" max="13" width="19.140625" style="18" customWidth="1"/>
    <col min="14" max="16384" width="7.5703125" style="10"/>
  </cols>
  <sheetData>
    <row r="1" spans="1:13" s="9" customFormat="1">
      <c r="A1" s="9" t="s">
        <v>121</v>
      </c>
      <c r="B1" s="9" t="s">
        <v>144</v>
      </c>
      <c r="C1" s="9" t="s">
        <v>122</v>
      </c>
      <c r="D1" s="17" t="s">
        <v>146</v>
      </c>
      <c r="E1" s="22" t="s">
        <v>213</v>
      </c>
      <c r="F1" s="17" t="s">
        <v>177</v>
      </c>
      <c r="G1" s="9" t="s">
        <v>148</v>
      </c>
      <c r="H1" s="19" t="s">
        <v>149</v>
      </c>
      <c r="I1" s="17" t="s">
        <v>198</v>
      </c>
      <c r="J1" s="17" t="s">
        <v>179</v>
      </c>
      <c r="K1" s="9" t="s">
        <v>171</v>
      </c>
      <c r="L1" s="19" t="s">
        <v>172</v>
      </c>
      <c r="M1" s="17" t="s">
        <v>199</v>
      </c>
    </row>
    <row r="2" spans="1:13" s="9" customFormat="1">
      <c r="A2" s="9" t="s">
        <v>76</v>
      </c>
      <c r="B2" s="9" t="s">
        <v>145</v>
      </c>
      <c r="C2" s="9" t="s">
        <v>78</v>
      </c>
      <c r="D2" s="17" t="s">
        <v>147</v>
      </c>
      <c r="E2" s="22" t="s">
        <v>214</v>
      </c>
      <c r="F2" s="17" t="s">
        <v>176</v>
      </c>
      <c r="G2" s="9" t="s">
        <v>150</v>
      </c>
      <c r="H2" s="19" t="s">
        <v>151</v>
      </c>
      <c r="I2" s="17" t="s">
        <v>152</v>
      </c>
      <c r="J2" s="17" t="s">
        <v>178</v>
      </c>
      <c r="K2" s="9" t="s">
        <v>173</v>
      </c>
      <c r="L2" s="19" t="s">
        <v>174</v>
      </c>
      <c r="M2" s="17" t="s">
        <v>175</v>
      </c>
    </row>
    <row r="3" spans="1:13">
      <c r="A3" s="10">
        <f>B3*10</f>
        <v>10</v>
      </c>
      <c r="B3" s="10">
        <v>1</v>
      </c>
      <c r="C3" s="13" t="str">
        <f>VLOOKUP(B3,Monster!A:B,2,FALSE)</f>
        <v>貝殼人</v>
      </c>
      <c r="D3" s="18">
        <v>0.5</v>
      </c>
      <c r="E3" s="23">
        <v>1</v>
      </c>
      <c r="F3" s="18" t="s">
        <v>180</v>
      </c>
      <c r="G3" s="10" t="s">
        <v>28</v>
      </c>
      <c r="H3" s="20" t="s">
        <v>153</v>
      </c>
      <c r="J3" s="18" t="s">
        <v>180</v>
      </c>
      <c r="K3" s="10" t="s">
        <v>28</v>
      </c>
      <c r="L3" s="20" t="s">
        <v>153</v>
      </c>
    </row>
    <row r="4" spans="1:13">
      <c r="A4" s="10">
        <v>11</v>
      </c>
      <c r="B4" s="10">
        <v>1</v>
      </c>
      <c r="C4" s="13" t="str">
        <f>VLOOKUP(B4,Monster!A:B,2,FALSE)</f>
        <v>貝殼人</v>
      </c>
      <c r="D4" s="18">
        <v>0.3</v>
      </c>
      <c r="E4" s="23">
        <v>1</v>
      </c>
      <c r="F4" s="18" t="s">
        <v>197</v>
      </c>
      <c r="G4" s="10" t="s">
        <v>28</v>
      </c>
      <c r="H4" s="20" t="s">
        <v>155</v>
      </c>
      <c r="J4" s="18" t="s">
        <v>180</v>
      </c>
      <c r="K4" s="10" t="s">
        <v>154</v>
      </c>
      <c r="L4" s="20" t="s">
        <v>155</v>
      </c>
    </row>
    <row r="5" spans="1:13">
      <c r="C5" s="13"/>
      <c r="H5" s="20"/>
      <c r="L5" s="20"/>
    </row>
    <row r="6" spans="1:13">
      <c r="A6" s="10">
        <f>B6*10</f>
        <v>10010</v>
      </c>
      <c r="B6" s="10">
        <v>1001</v>
      </c>
      <c r="C6" s="13" t="str">
        <f>VLOOKUP(B6,Monster!A:B,2,FALSE)</f>
        <v>詛咒女巫</v>
      </c>
      <c r="E6" s="23">
        <v>1</v>
      </c>
      <c r="F6" s="18" t="s">
        <v>180</v>
      </c>
      <c r="G6" s="10" t="s">
        <v>28</v>
      </c>
      <c r="H6" s="20" t="s">
        <v>153</v>
      </c>
    </row>
    <row r="7" spans="1:13">
      <c r="A7" s="10">
        <f t="shared" ref="A7:A10" si="0">B7*10</f>
        <v>10020</v>
      </c>
      <c r="B7" s="10">
        <v>1002</v>
      </c>
      <c r="C7" s="13" t="str">
        <f>VLOOKUP(B7,Monster!A:B,2,FALSE)</f>
        <v>巨型蜘蛛</v>
      </c>
      <c r="E7" s="23">
        <v>1</v>
      </c>
      <c r="F7" s="18" t="s">
        <v>180</v>
      </c>
      <c r="G7" s="10" t="s">
        <v>28</v>
      </c>
      <c r="H7" s="20" t="s">
        <v>153</v>
      </c>
    </row>
    <row r="8" spans="1:13">
      <c r="A8" s="10">
        <f t="shared" si="0"/>
        <v>10030</v>
      </c>
      <c r="B8" s="10">
        <v>1003</v>
      </c>
      <c r="C8" s="13" t="str">
        <f>VLOOKUP(B8,Monster!A:B,2,FALSE)</f>
        <v>長頸先生</v>
      </c>
      <c r="E8" s="23">
        <v>1</v>
      </c>
      <c r="F8" s="18" t="s">
        <v>180</v>
      </c>
      <c r="G8" s="10" t="s">
        <v>28</v>
      </c>
      <c r="H8" s="20" t="s">
        <v>153</v>
      </c>
    </row>
    <row r="9" spans="1:13">
      <c r="A9" s="10">
        <f t="shared" si="0"/>
        <v>10040</v>
      </c>
      <c r="B9" s="10">
        <v>1004</v>
      </c>
      <c r="C9" s="13" t="str">
        <f>VLOOKUP(B9,Monster!A:B,2,FALSE)</f>
        <v>長頸女士</v>
      </c>
      <c r="E9" s="23">
        <v>1</v>
      </c>
      <c r="F9" s="18" t="s">
        <v>180</v>
      </c>
      <c r="G9" s="10" t="s">
        <v>28</v>
      </c>
      <c r="H9" s="20" t="s">
        <v>153</v>
      </c>
    </row>
    <row r="10" spans="1:13">
      <c r="A10" s="10">
        <f t="shared" si="0"/>
        <v>10050</v>
      </c>
      <c r="B10" s="10">
        <v>1005</v>
      </c>
      <c r="C10" s="13" t="str">
        <f>VLOOKUP(B10,Monster!A:B,2,FALSE)</f>
        <v>漂浮嘴</v>
      </c>
      <c r="E10" s="23">
        <v>1</v>
      </c>
      <c r="F10" s="18" t="s">
        <v>180</v>
      </c>
      <c r="G10" s="10" t="s">
        <v>28</v>
      </c>
      <c r="H10" s="20" t="s">
        <v>153</v>
      </c>
    </row>
    <row r="11" spans="1:13">
      <c r="C11" s="13"/>
    </row>
    <row r="12" spans="1:13">
      <c r="C12" s="13"/>
    </row>
    <row r="16" spans="1:13">
      <c r="A16" s="11" t="s">
        <v>0</v>
      </c>
      <c r="B16" s="11"/>
    </row>
    <row r="160" spans="4:13">
      <c r="D160" s="10"/>
      <c r="F160" s="10"/>
      <c r="H160" s="10"/>
      <c r="I160" s="10"/>
      <c r="J160" s="10"/>
      <c r="L160" s="10"/>
      <c r="M160" s="10"/>
    </row>
    <row r="161" spans="4:13">
      <c r="D161" s="10"/>
      <c r="F161" s="10"/>
      <c r="H161" s="10"/>
      <c r="I161" s="10"/>
      <c r="J161" s="10"/>
      <c r="L161" s="10"/>
      <c r="M161" s="10"/>
    </row>
    <row r="162" spans="4:13">
      <c r="D162" s="10"/>
      <c r="F162" s="10"/>
      <c r="H162" s="10"/>
      <c r="I162" s="10"/>
      <c r="J162" s="10"/>
      <c r="L162" s="10"/>
      <c r="M162" s="10"/>
    </row>
    <row r="163" spans="4:13">
      <c r="D163" s="10"/>
      <c r="F163" s="10"/>
      <c r="H163" s="10"/>
      <c r="I163" s="10"/>
      <c r="J163" s="10"/>
      <c r="L163" s="10"/>
      <c r="M163" s="10"/>
    </row>
    <row r="164" spans="4:13">
      <c r="D164" s="10"/>
      <c r="F164" s="10"/>
      <c r="H164" s="10"/>
      <c r="I164" s="10"/>
      <c r="J164" s="10"/>
      <c r="L164" s="10"/>
      <c r="M164" s="10"/>
    </row>
    <row r="165" spans="4:13">
      <c r="D165" s="10"/>
      <c r="F165" s="10"/>
      <c r="H165" s="10"/>
      <c r="I165" s="10"/>
      <c r="J165" s="10"/>
      <c r="L165" s="10"/>
      <c r="M165" s="10"/>
    </row>
    <row r="166" spans="4:13">
      <c r="D166" s="10"/>
      <c r="F166" s="10"/>
      <c r="H166" s="10"/>
      <c r="I166" s="10"/>
      <c r="J166" s="10"/>
      <c r="L166" s="10"/>
      <c r="M166" s="10"/>
    </row>
    <row r="167" spans="4:13">
      <c r="D167" s="10"/>
      <c r="F167" s="10"/>
      <c r="H167" s="10"/>
      <c r="I167" s="10"/>
      <c r="J167" s="10"/>
      <c r="L167" s="10"/>
      <c r="M167" s="10"/>
    </row>
    <row r="168" spans="4:13">
      <c r="D168" s="10"/>
      <c r="F168" s="10"/>
      <c r="H168" s="10"/>
      <c r="I168" s="10"/>
      <c r="J168" s="10"/>
      <c r="L168" s="10"/>
      <c r="M168" s="10"/>
    </row>
    <row r="169" spans="4:13">
      <c r="D169" s="10"/>
      <c r="F169" s="10"/>
      <c r="H169" s="10"/>
      <c r="I169" s="10"/>
      <c r="J169" s="10"/>
      <c r="L169" s="10"/>
      <c r="M169" s="10"/>
    </row>
    <row r="170" spans="4:13">
      <c r="D170" s="10"/>
      <c r="F170" s="10"/>
      <c r="H170" s="10"/>
      <c r="I170" s="10"/>
      <c r="J170" s="10"/>
      <c r="L170" s="10"/>
      <c r="M170" s="10"/>
    </row>
    <row r="171" spans="4:13">
      <c r="D171" s="10"/>
      <c r="F171" s="10"/>
      <c r="H171" s="10"/>
      <c r="I171" s="10"/>
      <c r="J171" s="10"/>
      <c r="L171" s="10"/>
      <c r="M171" s="10"/>
    </row>
    <row r="172" spans="4:13">
      <c r="D172" s="10"/>
      <c r="F172" s="10"/>
      <c r="H172" s="10"/>
      <c r="I172" s="10"/>
      <c r="J172" s="10"/>
      <c r="L172" s="10"/>
      <c r="M172" s="10"/>
    </row>
    <row r="173" spans="4:13">
      <c r="D173" s="10"/>
      <c r="F173" s="10"/>
      <c r="H173" s="10"/>
      <c r="I173" s="10"/>
      <c r="J173" s="10"/>
      <c r="L173" s="10"/>
      <c r="M173" s="10"/>
    </row>
    <row r="174" spans="4:13">
      <c r="D174" s="10"/>
      <c r="F174" s="10"/>
      <c r="H174" s="10"/>
      <c r="I174" s="10"/>
      <c r="J174" s="10"/>
      <c r="L174" s="10"/>
      <c r="M174" s="10"/>
    </row>
    <row r="175" spans="4:13">
      <c r="D175" s="10"/>
      <c r="F175" s="10"/>
      <c r="H175" s="10"/>
      <c r="I175" s="10"/>
      <c r="J175" s="10"/>
      <c r="L175" s="10"/>
      <c r="M175" s="10"/>
    </row>
    <row r="176" spans="4:13">
      <c r="D176" s="10"/>
      <c r="F176" s="10"/>
      <c r="H176" s="10"/>
      <c r="I176" s="10"/>
      <c r="J176" s="10"/>
      <c r="L176" s="10"/>
      <c r="M176" s="10"/>
    </row>
    <row r="177" spans="4:13">
      <c r="D177" s="10"/>
      <c r="F177" s="10"/>
      <c r="H177" s="10"/>
      <c r="I177" s="10"/>
      <c r="J177" s="10"/>
      <c r="L177" s="10"/>
      <c r="M177" s="10"/>
    </row>
    <row r="178" spans="4:13">
      <c r="D178" s="10"/>
      <c r="F178" s="10"/>
      <c r="H178" s="10"/>
      <c r="I178" s="10"/>
      <c r="J178" s="10"/>
      <c r="L178" s="10"/>
      <c r="M178" s="10"/>
    </row>
    <row r="179" spans="4:13">
      <c r="D179" s="10"/>
      <c r="F179" s="10"/>
      <c r="H179" s="10"/>
      <c r="I179" s="10"/>
      <c r="J179" s="10"/>
      <c r="L179" s="10"/>
      <c r="M179" s="10"/>
    </row>
    <row r="180" spans="4:13">
      <c r="D180" s="10"/>
      <c r="F180" s="10"/>
      <c r="H180" s="10"/>
      <c r="I180" s="10"/>
      <c r="J180" s="10"/>
      <c r="L180" s="10"/>
      <c r="M180" s="10"/>
    </row>
    <row r="181" spans="4:13">
      <c r="D181" s="10"/>
      <c r="F181" s="10"/>
      <c r="H181" s="10"/>
      <c r="I181" s="10"/>
      <c r="J181" s="10"/>
      <c r="L181" s="10"/>
      <c r="M181" s="10"/>
    </row>
    <row r="182" spans="4:13">
      <c r="D182" s="10"/>
      <c r="F182" s="10"/>
      <c r="H182" s="10"/>
      <c r="I182" s="10"/>
      <c r="J182" s="10"/>
      <c r="L182" s="10"/>
      <c r="M182" s="10"/>
    </row>
    <row r="183" spans="4:13">
      <c r="D183" s="10"/>
      <c r="F183" s="10"/>
      <c r="H183" s="10"/>
      <c r="I183" s="10"/>
      <c r="J183" s="10"/>
      <c r="L183" s="10"/>
      <c r="M183" s="10"/>
    </row>
    <row r="184" spans="4:13">
      <c r="D184" s="10"/>
      <c r="F184" s="10"/>
      <c r="H184" s="10"/>
      <c r="I184" s="10"/>
      <c r="J184" s="10"/>
      <c r="L184" s="10"/>
      <c r="M184" s="10"/>
    </row>
    <row r="185" spans="4:13">
      <c r="D185" s="10"/>
      <c r="F185" s="10"/>
      <c r="H185" s="10"/>
      <c r="I185" s="10"/>
      <c r="J185" s="10"/>
      <c r="L185" s="10"/>
      <c r="M185" s="10"/>
    </row>
    <row r="186" spans="4:13">
      <c r="D186" s="10"/>
      <c r="F186" s="10"/>
      <c r="H186" s="10"/>
      <c r="I186" s="10"/>
      <c r="J186" s="10"/>
      <c r="L186" s="10"/>
      <c r="M186" s="10"/>
    </row>
    <row r="187" spans="4:13">
      <c r="D187" s="10"/>
      <c r="F187" s="10"/>
      <c r="H187" s="10"/>
      <c r="I187" s="10"/>
      <c r="J187" s="10"/>
      <c r="L187" s="10"/>
      <c r="M187" s="10"/>
    </row>
    <row r="188" spans="4:13">
      <c r="D188" s="10"/>
      <c r="F188" s="10"/>
      <c r="H188" s="10"/>
      <c r="I188" s="10"/>
      <c r="J188" s="10"/>
      <c r="L188" s="10"/>
      <c r="M188" s="10"/>
    </row>
    <row r="189" spans="4:13">
      <c r="D189" s="10"/>
      <c r="F189" s="10"/>
      <c r="H189" s="10"/>
      <c r="I189" s="10"/>
      <c r="J189" s="10"/>
      <c r="L189" s="10"/>
      <c r="M189" s="10"/>
    </row>
    <row r="190" spans="4:13">
      <c r="D190" s="10"/>
      <c r="F190" s="10"/>
      <c r="H190" s="10"/>
      <c r="I190" s="10"/>
      <c r="J190" s="10"/>
      <c r="L190" s="10"/>
      <c r="M190" s="10"/>
    </row>
    <row r="191" spans="4:13">
      <c r="D191" s="10"/>
      <c r="F191" s="10"/>
      <c r="H191" s="10"/>
      <c r="I191" s="10"/>
      <c r="J191" s="10"/>
      <c r="L191" s="10"/>
      <c r="M191" s="10"/>
    </row>
    <row r="192" spans="4:13">
      <c r="D192" s="10"/>
      <c r="F192" s="10"/>
      <c r="H192" s="10"/>
      <c r="I192" s="10"/>
      <c r="J192" s="10"/>
      <c r="L192" s="10"/>
      <c r="M192" s="10"/>
    </row>
    <row r="193" spans="4:13">
      <c r="D193" s="10"/>
      <c r="F193" s="10"/>
      <c r="H193" s="10"/>
      <c r="I193" s="10"/>
      <c r="J193" s="10"/>
      <c r="L193" s="10"/>
      <c r="M193" s="10"/>
    </row>
    <row r="194" spans="4:13">
      <c r="D194" s="10"/>
      <c r="F194" s="10"/>
      <c r="H194" s="10"/>
      <c r="I194" s="10"/>
      <c r="J194" s="10"/>
      <c r="L194" s="10"/>
      <c r="M194" s="10"/>
    </row>
    <row r="195" spans="4:13">
      <c r="D195" s="10"/>
      <c r="F195" s="10"/>
      <c r="H195" s="10"/>
      <c r="I195" s="10"/>
      <c r="J195" s="10"/>
      <c r="L195" s="10"/>
      <c r="M195" s="10"/>
    </row>
    <row r="196" spans="4:13">
      <c r="D196" s="10"/>
      <c r="F196" s="10"/>
      <c r="H196" s="10"/>
      <c r="I196" s="10"/>
      <c r="J196" s="10"/>
      <c r="L196" s="10"/>
      <c r="M196" s="10"/>
    </row>
    <row r="197" spans="4:13">
      <c r="D197" s="10"/>
      <c r="F197" s="10"/>
      <c r="H197" s="10"/>
      <c r="I197" s="10"/>
      <c r="J197" s="10"/>
      <c r="L197" s="10"/>
      <c r="M197" s="10"/>
    </row>
    <row r="198" spans="4:13">
      <c r="D198" s="10"/>
      <c r="F198" s="10"/>
      <c r="H198" s="10"/>
      <c r="I198" s="10"/>
      <c r="J198" s="10"/>
      <c r="L198" s="10"/>
      <c r="M198" s="10"/>
    </row>
    <row r="199" spans="4:13">
      <c r="D199" s="10"/>
      <c r="F199" s="10"/>
      <c r="H199" s="10"/>
      <c r="I199" s="10"/>
      <c r="J199" s="10"/>
      <c r="L199" s="10"/>
      <c r="M199" s="10"/>
    </row>
  </sheetData>
  <phoneticPr fontId="1" type="noConversion"/>
  <dataValidations count="2">
    <dataValidation type="list" allowBlank="1" showInputMessage="1" showErrorMessage="1" sqref="G1:G1048576 K1:K1048576">
      <formula1>EffectType</formula1>
    </dataValidation>
    <dataValidation type="list" allowBlank="1" showInputMessage="1" showErrorMessage="1" sqref="J1:J1048576 F1:F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E14" sqref="E14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156</v>
      </c>
      <c r="B9" s="2" t="s">
        <v>157</v>
      </c>
      <c r="C9" s="2" t="s">
        <v>158</v>
      </c>
      <c r="D9" s="2" t="s">
        <v>157</v>
      </c>
      <c r="E9" s="2" t="s">
        <v>210</v>
      </c>
      <c r="F9" s="2" t="s">
        <v>126</v>
      </c>
    </row>
    <row r="10" spans="1:6">
      <c r="A10" t="s">
        <v>201</v>
      </c>
      <c r="B10" t="s">
        <v>159</v>
      </c>
      <c r="C10" t="s">
        <v>160</v>
      </c>
      <c r="D10" t="s">
        <v>161</v>
      </c>
      <c r="E10" t="s">
        <v>207</v>
      </c>
      <c r="F10" t="s">
        <v>208</v>
      </c>
    </row>
    <row r="11" spans="1:6">
      <c r="A11" t="s">
        <v>202</v>
      </c>
      <c r="B11" t="s">
        <v>162</v>
      </c>
      <c r="C11" t="s">
        <v>163</v>
      </c>
      <c r="D11" t="s">
        <v>164</v>
      </c>
      <c r="E11" t="s">
        <v>206</v>
      </c>
      <c r="F11" t="s">
        <v>209</v>
      </c>
    </row>
    <row r="12" spans="1:6">
      <c r="A12" t="s">
        <v>165</v>
      </c>
      <c r="B12" t="s">
        <v>166</v>
      </c>
    </row>
    <row r="13" spans="1:6">
      <c r="A13" t="s">
        <v>167</v>
      </c>
      <c r="B13" t="s">
        <v>168</v>
      </c>
    </row>
    <row r="14" spans="1:6">
      <c r="A14" t="s">
        <v>169</v>
      </c>
      <c r="B14" t="s">
        <v>170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2023-04-21T10:02:48Z</dcterms:modified>
</cp:coreProperties>
</file>