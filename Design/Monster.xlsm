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8" l="1"/>
  <c r="D8" i="8"/>
  <c r="A3" i="8" l="1"/>
  <c r="A7" i="8"/>
  <c r="A10" i="8"/>
  <c r="A11" i="8"/>
  <c r="A12" i="8"/>
  <c r="A6" i="8" l="1"/>
  <c r="D12" i="8" l="1"/>
  <c r="D11" i="8"/>
  <c r="D10" i="8"/>
  <c r="D7" i="8"/>
  <c r="D6" i="8"/>
  <c r="D4" i="8" l="1"/>
  <c r="D3" i="8"/>
  <c r="E7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<sst xmlns="http://schemas.openxmlformats.org/spreadsheetml/2006/main" count="297" uniqueCount="232">
  <si>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</si>
  <si>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</si>
  <si>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</si>
  <si>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</si>
  <si>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</si>
  <si>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</si>
  <si>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</si>
  <si>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</si>
  <si>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</si>
  <si>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</si>
  <si>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</si>
  <si>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</si>
  <si>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</si>
  <si>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</si>
  <si>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</si>
  <si>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</si>
  <si>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</si>
  <si>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</si>
  <si>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</si>
  <si>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</si>
  <si>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</si>
  <si>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</si>
  <si>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</si>
  <si>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</si>
  <si>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</si>
  <si>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</si>
  <si>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</si>
  <si>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</si>
  <si>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</si>
  <si>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</si>
  <si>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</si>
  <si>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</si>
  <si>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</si>
  <si>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</si>
  <si>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</si>
  <si>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</si>
  <si>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</si>
  <si>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</si>
  <si>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</si>
  <si>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</si>
  <si>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</si>
  <si>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</si>
  <si>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</si>
  <si>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</si>
  <si>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</si>
  <si>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</si>
  <si>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</si>
  <si>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</si>
  <si>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</si>
  <si>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</si>
  <si>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</si>
  <si>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</si>
  <si>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</si>
  <si>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</si>
  <si>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</si>
  <si>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</si>
  <si>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</si>
  <si>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</si>
  <si>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</si>
  <si>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</si>
  <si>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</si>
  <si>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</si>
  <si>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</si>
  <si>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</si>
  <si>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</si>
  <si>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</si>
  <si>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</si>
  <si>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</si>
  <si>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</si>
  <si>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</si>
  <si>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</si>
  <si>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</si>
  <si>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</si>
  <si>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</si>
  <si>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</si>
  <si>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</si>
  <si>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</si>
  <si>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</si>
  <si>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</si>
  <si>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</si>
  <si>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</si>
  <si>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</si>
  <si>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</si>
  <si>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</si>
  <si>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</si>
  <si>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</si>
  <si>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</si>
  <si>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</si>
  <si>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</si>
  <si>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</si>
  <si>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</si>
  <si>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</si>
  <si>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</si>
  <si>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</si>
  <si>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</si>
  <si>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</si>
  <si>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</si>
  <si>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</si>
  <si>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</si>
  <si>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</si>
  <si>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</si>
  <si>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</si>
  <si>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</si>
  <si>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</si>
  <si>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</si>
  <si>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</si>
  <si>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</si>
  <si>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</si>
  <si>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</si>
  <si>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</si>
  <si>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</si>
  <si>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</si>
  <si>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</si>
  <si>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</si>
  <si>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</si>
  <si>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</si>
  <si>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</si>
  <si>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</si>
  <si>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</si>
  <si>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</si>
  <si>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</si>
  <si>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</si>
  <si>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</si>
  <si>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</si>
  <si>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</si>
  <si>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</si>
  <si>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</si>
  <si>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</si>
  <si>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</si>
  <si>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</si>
  <si>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</si>
  <si>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</si>
  <si>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</si>
  <si>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</si>
  <si>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</si>
  <si>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</si>
  <si>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</si>
  <si>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</si>
  <si>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</si>
  <si>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</si>
  <si>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</si>
  <si>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</si>
  <si>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</si>
  <si>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</si>
  <si>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</si>
  <si>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</si>
  <si>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</si>
  <si>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</si>
  <si>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</si>
  <si>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</si>
  <si>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</si>
  <si>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</si>
  <si>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</si>
  <si>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-20</t>
    <phoneticPr fontId="1" type="noConversion"/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</si>
  <si>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</si>
  <si>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</si>
  <si>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</si>
  <si>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</si>
  <si>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</si>
  <si>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</si>
  <si>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</si>
  <si>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</si>
  <si>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</si>
  <si>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</si>
  <si>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</si>
  <si>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</si>
  <si>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</si>
  <si>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</si>
  <si>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</si>
  <si>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</si>
  <si>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</si>
  <si>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</si>
  <si>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</si>
  <si>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</si>
  <si>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</si>
  <si>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</si>
  <si>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</si>
  <si>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</si>
  <si>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</si>
  <si>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</si>
  <si>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</si>
  <si>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</si>
  <si>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</si>
  <si>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</si>
  <si>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</si>
  <si>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</si>
  <si>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</si>
  <si>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</si>
  <si>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</si>
  <si>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</si>
  <si>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</si>
  <si>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</si>
  <si>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</si>
  <si>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</si>
  <si>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</si>
  <si>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</si>
  <si>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</si>
  <si>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</si>
  <si>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</si>
  <si>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</si>
  <si>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</si>
  <si>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</si>
  <si>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</si>
  <si>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</si>
  <si>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</si>
  <si>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</si>
  <si>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</si>
  <si>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</si>
  <si>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</si>
  <si>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</si>
  <si>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HP</t>
    <phoneticPr fontId="1" type="noConversion"/>
  </si>
  <si>
    <t>SanP</t>
    <phoneticPr fontId="1" type="noConversion"/>
  </si>
  <si>
    <t>Dizzy</t>
    <phoneticPr fontId="1" type="noConversion"/>
  </si>
  <si>
    <t>Bleeding</t>
    <phoneticPr fontId="1" type="noConversion"/>
  </si>
  <si>
    <t>Flee</t>
    <phoneticPr fontId="1" type="noConversion"/>
  </si>
  <si>
    <t>Dizzy</t>
  </si>
  <si>
    <t>-15</t>
    <phoneticPr fontId="1" type="noConversion"/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</si>
  <si>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</si>
  <si>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</si>
  <si>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</si>
  <si>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</si>
  <si>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</si>
  <si>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</si>
  <si>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</si>
  <si>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</si>
  <si>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SanP</t>
  </si>
  <si>
    <t>-40</t>
    <phoneticPr fontId="1" type="noConversion"/>
  </si>
  <si>
    <t>-30</t>
    <phoneticPr fontId="1" type="noConversion"/>
  </si>
  <si>
    <t>-20</t>
    <phoneticPr fontId="1" type="noConversion"/>
  </si>
  <si>
    <t>-60</t>
    <phoneticPr fontId="1" type="noConversion"/>
  </si>
  <si>
    <t>咬</t>
    <phoneticPr fontId="1" type="noConversion"/>
  </si>
  <si>
    <t>-50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</si>
</sst>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12" sqref="C1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197</v>
      </c>
      <c r="G1" s="9" t="s">
        <v>196</v>
      </c>
      <c r="H1" s="9" t="s">
        <v>185</v>
      </c>
      <c r="I1" s="17" t="s">
        <v>133</v>
      </c>
      <c r="J1" s="17" t="s">
        <v>189</v>
      </c>
      <c r="K1" s="17" t="s">
        <v>134</v>
      </c>
      <c r="L1" s="17" t="s">
        <v>190</v>
      </c>
      <c r="M1" s="17" t="s">
        <v>192</v>
      </c>
      <c r="N1" s="17" t="s">
        <v>191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198</v>
      </c>
      <c r="G2" s="9" t="s">
        <v>127</v>
      </c>
      <c r="H2" s="9" t="s">
        <v>186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177</v>
      </c>
      <c r="C4" s="16" t="s">
        <v>178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205</v>
      </c>
      <c r="C6" s="16"/>
      <c r="E6" s="10"/>
      <c r="F6" s="10"/>
    </row>
    <row r="7" spans="1:14" ht="78.75">
      <c r="A7" s="10">
        <v>1</v>
      </c>
      <c r="B7" s="13" t="s">
        <v>143</v>
      </c>
      <c r="C7" s="16" t="s">
        <v>184</v>
      </c>
      <c r="D7" s="13">
        <v>1</v>
      </c>
      <c r="E7" s="10" t="str">
        <f t="shared" ref="E7" si="0">"monster"&amp;A7</f>
        <v>monster1</v>
      </c>
      <c r="F7" s="10" t="s">
        <v>199</v>
      </c>
      <c r="G7" s="10">
        <v>200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>
      <c r="B8" s="13"/>
      <c r="C8" s="16"/>
      <c r="E8" s="10"/>
      <c r="F8" s="10"/>
    </row>
    <row r="9" spans="1:14">
      <c r="B9" s="21" t="s">
        <v>206</v>
      </c>
      <c r="C9" s="16"/>
      <c r="E9" s="10"/>
      <c r="F9" s="10"/>
    </row>
    <row r="10" spans="1:14">
      <c r="A10" s="10">
        <v>1001</v>
      </c>
      <c r="B10" s="13" t="s">
        <v>130</v>
      </c>
      <c r="C10" s="16" t="s">
        <v>180</v>
      </c>
      <c r="D10" s="13">
        <v>1</v>
      </c>
      <c r="E10" s="10" t="s">
        <v>209</v>
      </c>
      <c r="F10" s="10"/>
      <c r="G10" s="10">
        <v>100</v>
      </c>
      <c r="H10" s="10" t="s">
        <v>188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>
      <c r="A11" s="10">
        <v>1002</v>
      </c>
      <c r="B11" s="13" t="s">
        <v>139</v>
      </c>
      <c r="C11" s="16" t="s">
        <v>181</v>
      </c>
      <c r="D11" s="13">
        <v>1</v>
      </c>
      <c r="E11" s="10" t="s">
        <v>209</v>
      </c>
      <c r="F11" s="10"/>
      <c r="G11" s="10">
        <v>130</v>
      </c>
      <c r="H11" s="10" t="s">
        <v>187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>
      <c r="A12" s="10">
        <v>1003</v>
      </c>
      <c r="B12" s="13" t="s">
        <v>141</v>
      </c>
      <c r="C12" s="16" t="s">
        <v>179</v>
      </c>
      <c r="D12" s="13">
        <v>1</v>
      </c>
      <c r="E12" s="10" t="s">
        <v>209</v>
      </c>
      <c r="F12" s="10"/>
      <c r="G12" s="10">
        <v>100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>
      <c r="A13" s="10">
        <v>1004</v>
      </c>
      <c r="B13" s="13" t="s">
        <v>142</v>
      </c>
      <c r="C13" s="16" t="s">
        <v>182</v>
      </c>
      <c r="D13" s="13">
        <v>1</v>
      </c>
      <c r="E13" s="10" t="s">
        <v>209</v>
      </c>
      <c r="F13" s="10"/>
      <c r="G13" s="10">
        <v>100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>
      <c r="A14" s="10">
        <v>1005</v>
      </c>
      <c r="B14" s="13" t="s">
        <v>140</v>
      </c>
      <c r="C14" s="16" t="s">
        <v>183</v>
      </c>
      <c r="D14" s="13">
        <v>1</v>
      </c>
      <c r="E14" s="10" t="s">
        <v>209</v>
      </c>
      <c r="F14" s="10"/>
      <c r="G14" s="10">
        <v>80</v>
      </c>
      <c r="K14" s="18">
        <v>1</v>
      </c>
      <c r="L14" s="18">
        <v>0.6</v>
      </c>
    </row>
    <row r="15" spans="1:14">
      <c r="B15" s="13"/>
      <c r="C15" s="16"/>
      <c r="E15" s="10"/>
      <c r="F15" s="10"/>
    </row>
    <row r="16" spans="1:14">
      <c r="B16" s="13"/>
      <c r="C16" s="16"/>
      <c r="E16" s="10"/>
      <c r="F16" s="10"/>
    </row>
    <row r="17" spans="1:6">
      <c r="B17" s="13"/>
      <c r="C17" s="16"/>
      <c r="E17" s="10"/>
      <c r="F17" s="10"/>
    </row>
    <row r="18" spans="1:6">
      <c r="B18" s="13"/>
      <c r="C18" s="16"/>
      <c r="E18" s="10"/>
      <c r="F18" s="10"/>
    </row>
    <row r="19" spans="1:6">
      <c r="B19" s="13"/>
      <c r="C19" s="16"/>
      <c r="E19" s="10"/>
      <c r="F19" s="10"/>
    </row>
    <row r="20" spans="1:6">
      <c r="B20" s="13"/>
      <c r="C20" s="16"/>
      <c r="E20" s="10"/>
      <c r="F20" s="10"/>
    </row>
    <row r="21" spans="1:6">
      <c r="B21" s="13"/>
      <c r="C21" s="16"/>
      <c r="E21" s="10"/>
      <c r="F21" s="10"/>
    </row>
    <row r="22" spans="1:6">
      <c r="B22" s="13"/>
      <c r="C22" s="16"/>
      <c r="E22" s="10"/>
      <c r="F22" s="10"/>
    </row>
    <row r="23" spans="1:6">
      <c r="B23" s="13"/>
      <c r="C23" s="16"/>
      <c r="E23" s="10"/>
      <c r="F23" s="10"/>
    </row>
    <row r="24" spans="1:6">
      <c r="C24" s="16"/>
      <c r="E24" s="10"/>
      <c r="F24" s="10"/>
    </row>
    <row r="25" spans="1:6">
      <c r="C25" s="16"/>
      <c r="E25" s="10"/>
      <c r="F25" s="10"/>
    </row>
    <row r="27" spans="1:6">
      <c r="A27" s="11" t="s">
        <v>0</v>
      </c>
    </row>
    <row r="171" spans="4:14" ht="31.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01"/>
  <sheetViews>
    <sheetView tabSelected="1" workbookViewId="0">
      <selection activeCell="D11" sqref="D11"/>
    </sheetView>
  </sheetViews>
  <sheetFormatPr defaultColWidth="7.5703125" defaultRowHeight="15.75"/>
  <cols>
    <col min="1" max="1" width="7.42578125" style="10" customWidth="1"/>
    <col min="2" max="2" width="14.140625" style="10" customWidth="1"/>
    <col min="3" max="3" width="11.140625" style="10" customWidth="1"/>
    <col min="4" max="4" width="14.140625" style="10" customWidth="1"/>
    <col min="5" max="5" width="13.28515625" style="18" customWidth="1"/>
    <col min="6" max="6" width="11.28515625" style="23" customWidth="1"/>
    <col min="7" max="7" width="13.28515625" style="18" customWidth="1"/>
    <col min="8" max="8" width="15.85546875" style="10" customWidth="1"/>
    <col min="9" max="9" width="15.140625" style="18" customWidth="1"/>
    <col min="10" max="10" width="19.140625" style="18" customWidth="1"/>
    <col min="11" max="11" width="13.28515625" style="18" customWidth="1"/>
    <col min="12" max="12" width="15.85546875" style="10" customWidth="1"/>
    <col min="13" max="13" width="15.140625" style="18" customWidth="1"/>
    <col min="14" max="14" width="19.140625" style="18" customWidth="1"/>
    <col min="15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144</v>
      </c>
      <c r="D1" s="9" t="s">
        <v>217</v>
      </c>
      <c r="E1" s="17" t="s">
        <v>146</v>
      </c>
      <c r="F1" s="22" t="s">
        <v>207</v>
      </c>
      <c r="G1" s="17" t="s">
        <v>173</v>
      </c>
      <c r="H1" s="9" t="s">
        <v>148</v>
      </c>
      <c r="I1" s="19" t="s">
        <v>149</v>
      </c>
      <c r="J1" s="17" t="s">
        <v>194</v>
      </c>
      <c r="K1" s="17" t="s">
        <v>175</v>
      </c>
      <c r="L1" s="9" t="s">
        <v>167</v>
      </c>
      <c r="M1" s="19" t="s">
        <v>168</v>
      </c>
      <c r="N1" s="17" t="s">
        <v>195</v>
      </c>
    </row>
    <row r="2" spans="1:14" s="9" customFormat="1">
      <c r="A2" s="9" t="s">
        <v>76</v>
      </c>
      <c r="B2" s="9" t="s">
        <v>78</v>
      </c>
      <c r="C2" s="9" t="s">
        <v>145</v>
      </c>
      <c r="D2" s="9" t="s">
        <v>218</v>
      </c>
      <c r="E2" s="17" t="s">
        <v>147</v>
      </c>
      <c r="F2" s="22" t="s">
        <v>208</v>
      </c>
      <c r="G2" s="17" t="s">
        <v>172</v>
      </c>
      <c r="H2" s="9" t="s">
        <v>150</v>
      </c>
      <c r="I2" s="19" t="s">
        <v>151</v>
      </c>
      <c r="J2" s="17" t="s">
        <v>152</v>
      </c>
      <c r="K2" s="17" t="s">
        <v>174</v>
      </c>
      <c r="L2" s="9" t="s">
        <v>169</v>
      </c>
      <c r="M2" s="19" t="s">
        <v>170</v>
      </c>
      <c r="N2" s="17" t="s">
        <v>171</v>
      </c>
    </row>
    <row r="3" spans="1:14">
      <c r="A3" s="10">
        <f>C3*10</f>
        <v>10</v>
      </c>
      <c r="B3" s="13" t="s">
        <v>219</v>
      </c>
      <c r="C3" s="10">
        <v>1</v>
      </c>
      <c r="D3" s="13" t="str">
        <f>VLOOKUP(C3,Monster!A:B,2,FALSE)</f>
        <v>貝殼人</v>
      </c>
      <c r="E3" s="18">
        <v>0.5</v>
      </c>
      <c r="F3" s="23">
        <v>4</v>
      </c>
      <c r="G3" s="18" t="s">
        <v>176</v>
      </c>
      <c r="H3" s="10" t="s">
        <v>28</v>
      </c>
      <c r="I3" s="20" t="s">
        <v>226</v>
      </c>
      <c r="J3" s="18">
        <v>1</v>
      </c>
      <c r="K3" s="18" t="s">
        <v>176</v>
      </c>
      <c r="L3" s="10" t="s">
        <v>28</v>
      </c>
      <c r="M3" s="20" t="s">
        <v>153</v>
      </c>
      <c r="N3" s="18">
        <v>1</v>
      </c>
    </row>
    <row r="4" spans="1:14">
      <c r="A4" s="10">
        <v>11</v>
      </c>
      <c r="B4" s="13" t="s">
        <v>220</v>
      </c>
      <c r="C4" s="10">
        <v>1</v>
      </c>
      <c r="D4" s="13" t="str">
        <f>VLOOKUP(C4,Monster!A:B,2,FALSE)</f>
        <v>貝殼人</v>
      </c>
      <c r="E4" s="18">
        <v>0.3</v>
      </c>
      <c r="F4" s="23">
        <v>3</v>
      </c>
      <c r="G4" s="18" t="s">
        <v>193</v>
      </c>
      <c r="H4" s="10" t="s">
        <v>28</v>
      </c>
      <c r="I4" s="20" t="s">
        <v>227</v>
      </c>
      <c r="J4" s="18">
        <v>1</v>
      </c>
      <c r="K4" s="18" t="s">
        <v>176</v>
      </c>
      <c r="L4" s="10" t="s">
        <v>215</v>
      </c>
      <c r="M4" s="20" t="s">
        <v>154</v>
      </c>
      <c r="N4" s="18">
        <v>1</v>
      </c>
    </row>
    <row r="5" spans="1:14">
      <c r="B5" s="13"/>
      <c r="D5" s="13"/>
      <c r="I5" s="20"/>
      <c r="M5" s="20"/>
    </row>
    <row r="6" spans="1:14">
      <c r="A6" s="10">
        <f>C6*10</f>
        <v>10010</v>
      </c>
      <c r="B6" s="13" t="s">
        <v>221</v>
      </c>
      <c r="C6" s="10">
        <v>1001</v>
      </c>
      <c r="D6" s="13" t="str">
        <f>VLOOKUP(C6,Monster!A:B,2,FALSE)</f>
        <v>詛咒女巫</v>
      </c>
      <c r="E6" s="18">
        <v>1</v>
      </c>
      <c r="F6" s="23">
        <v>3</v>
      </c>
      <c r="G6" s="18" t="s">
        <v>176</v>
      </c>
      <c r="H6" s="10" t="s">
        <v>28</v>
      </c>
      <c r="I6" s="20" t="s">
        <v>227</v>
      </c>
      <c r="J6" s="18">
        <v>1</v>
      </c>
      <c r="K6" s="18" t="s">
        <v>176</v>
      </c>
      <c r="L6" s="10" t="s">
        <v>28</v>
      </c>
      <c r="M6" s="20" t="s">
        <v>216</v>
      </c>
      <c r="N6" s="18">
        <v>1</v>
      </c>
    </row>
    <row r="7" spans="1:14">
      <c r="A7" s="10">
        <f>C7*10</f>
        <v>10020</v>
      </c>
      <c r="B7" s="13" t="s">
        <v>224</v>
      </c>
      <c r="C7" s="10">
        <v>1002</v>
      </c>
      <c r="D7" s="13" t="str">
        <f>VLOOKUP(C7,Monster!A:B,2,FALSE)</f>
        <v>巨型蜘蛛</v>
      </c>
      <c r="E7" s="18">
        <v>0.3</v>
      </c>
      <c r="F7" s="23">
        <v>2</v>
      </c>
      <c r="G7" s="18" t="s">
        <v>176</v>
      </c>
      <c r="H7" s="10" t="s">
        <v>225</v>
      </c>
      <c r="I7" s="20" t="s">
        <v>228</v>
      </c>
      <c r="J7" s="18">
        <v>1</v>
      </c>
    </row>
    <row r="8" spans="1:14">
      <c r="A8" s="10">
        <v>10021</v>
      </c>
      <c r="B8" s="13" t="s">
        <v>223</v>
      </c>
      <c r="C8" s="10">
        <v>1002</v>
      </c>
      <c r="D8" s="13" t="str">
        <f>VLOOKUP(C8,Monster!A:B,2,FALSE)</f>
        <v>巨型蜘蛛</v>
      </c>
      <c r="E8" s="18">
        <v>0.3</v>
      </c>
      <c r="F8" s="23">
        <v>3</v>
      </c>
      <c r="G8" s="18" t="s">
        <v>176</v>
      </c>
      <c r="H8" s="10" t="s">
        <v>28</v>
      </c>
      <c r="I8" s="20" t="s">
        <v>226</v>
      </c>
      <c r="J8" s="18">
        <v>1</v>
      </c>
    </row>
    <row r="9" spans="1:14">
      <c r="A9" s="10">
        <v>10022</v>
      </c>
      <c r="B9" s="13" t="s">
        <v>222</v>
      </c>
      <c r="C9" s="10">
        <v>1002</v>
      </c>
      <c r="D9" s="13" t="str">
        <f>VLOOKUP(C9,Monster!A:B,2,FALSE)</f>
        <v>巨型蜘蛛</v>
      </c>
      <c r="E9" s="18">
        <v>0.3</v>
      </c>
      <c r="F9" s="23">
        <v>4</v>
      </c>
      <c r="G9" s="18" t="s">
        <v>176</v>
      </c>
      <c r="H9" s="10" t="s">
        <v>28</v>
      </c>
      <c r="I9" s="20" t="s">
        <v>229</v>
      </c>
      <c r="J9" s="18">
        <v>1</v>
      </c>
    </row>
    <row r="10" spans="1:14">
      <c r="A10" s="10">
        <f>C10*10</f>
        <v>10030</v>
      </c>
      <c r="B10" s="13" t="s">
        <v>230</v>
      </c>
      <c r="C10" s="10">
        <v>1003</v>
      </c>
      <c r="D10" s="13" t="str">
        <f>VLOOKUP(C10,Monster!A:B,2,FALSE)</f>
        <v>長頸先生</v>
      </c>
      <c r="E10" s="18">
        <v>1</v>
      </c>
      <c r="F10" s="23">
        <v>2</v>
      </c>
      <c r="G10" s="18" t="s">
        <v>176</v>
      </c>
      <c r="H10" s="10" t="s">
        <v>28</v>
      </c>
      <c r="I10" s="20" t="s">
        <v>226</v>
      </c>
      <c r="J10" s="18">
        <v>1</v>
      </c>
    </row>
    <row r="11" spans="1:14">
      <c r="A11" s="10">
        <f>C11*10</f>
        <v>10040</v>
      </c>
      <c r="B11" s="13" t="s">
        <v>230</v>
      </c>
      <c r="C11" s="10">
        <v>1004</v>
      </c>
      <c r="D11" s="13" t="str">
        <f>VLOOKUP(C11,Monster!A:B,2,FALSE)</f>
        <v>長頸女士</v>
      </c>
      <c r="E11" s="18">
        <v>1</v>
      </c>
      <c r="F11" s="23">
        <v>3</v>
      </c>
      <c r="G11" s="18" t="s">
        <v>176</v>
      </c>
      <c r="H11" s="10" t="s">
        <v>28</v>
      </c>
      <c r="I11" s="20" t="s">
        <v>229</v>
      </c>
      <c r="J11" s="18">
        <v>1</v>
      </c>
    </row>
    <row r="12" spans="1:14">
      <c r="A12" s="10">
        <f>C12*10</f>
        <v>10050</v>
      </c>
      <c r="B12" s="13" t="s">
        <v>230</v>
      </c>
      <c r="C12" s="10">
        <v>1005</v>
      </c>
      <c r="D12" s="13" t="str">
        <f>VLOOKUP(C12,Monster!A:B,2,FALSE)</f>
        <v>漂浮嘴</v>
      </c>
      <c r="E12" s="18">
        <v>1</v>
      </c>
      <c r="F12" s="23">
        <v>2</v>
      </c>
      <c r="G12" s="18" t="s">
        <v>176</v>
      </c>
      <c r="H12" s="10" t="s">
        <v>28</v>
      </c>
      <c r="I12" s="20" t="s">
        <v>231</v>
      </c>
      <c r="J12" s="18">
        <v>1</v>
      </c>
    </row>
    <row r="13" spans="1:14">
      <c r="B13" s="13"/>
      <c r="D13" s="13"/>
    </row>
    <row r="14" spans="1:14">
      <c r="B14" s="13"/>
      <c r="D14" s="13"/>
    </row>
    <row r="18" spans="1:3">
      <c r="A18" s="11" t="s">
        <v>0</v>
      </c>
      <c r="C18" s="11"/>
    </row>
    <row r="162" spans="5:14">
      <c r="E162" s="10"/>
      <c r="G162" s="10"/>
      <c r="I162" s="10"/>
      <c r="J162" s="10"/>
      <c r="K162" s="10"/>
      <c r="M162" s="10"/>
      <c r="N162" s="10"/>
    </row>
    <row r="163" spans="5:14">
      <c r="E163" s="10"/>
      <c r="G163" s="10"/>
      <c r="I163" s="10"/>
      <c r="J163" s="10"/>
      <c r="K163" s="10"/>
      <c r="M163" s="10"/>
      <c r="N163" s="10"/>
    </row>
    <row r="164" spans="5:14">
      <c r="E164" s="10"/>
      <c r="G164" s="10"/>
      <c r="I164" s="10"/>
      <c r="J164" s="10"/>
      <c r="K164" s="10"/>
      <c r="M164" s="10"/>
      <c r="N164" s="10"/>
    </row>
    <row r="165" spans="5:14">
      <c r="E165" s="10"/>
      <c r="G165" s="10"/>
      <c r="I165" s="10"/>
      <c r="J165" s="10"/>
      <c r="K165" s="10"/>
      <c r="M165" s="10"/>
      <c r="N165" s="10"/>
    </row>
    <row r="166" spans="5:14">
      <c r="E166" s="10"/>
      <c r="G166" s="10"/>
      <c r="I166" s="10"/>
      <c r="J166" s="10"/>
      <c r="K166" s="10"/>
      <c r="M166" s="10"/>
      <c r="N166" s="10"/>
    </row>
    <row r="167" spans="5:14">
      <c r="E167" s="10"/>
      <c r="G167" s="10"/>
      <c r="I167" s="10"/>
      <c r="J167" s="10"/>
      <c r="K167" s="10"/>
      <c r="M167" s="10"/>
      <c r="N167" s="10"/>
    </row>
    <row r="168" spans="5:14">
      <c r="E168" s="10"/>
      <c r="G168" s="10"/>
      <c r="I168" s="10"/>
      <c r="J168" s="10"/>
      <c r="K168" s="10"/>
      <c r="M168" s="10"/>
      <c r="N168" s="10"/>
    </row>
    <row r="169" spans="5:14">
      <c r="E169" s="10"/>
      <c r="G169" s="10"/>
      <c r="I169" s="10"/>
      <c r="J169" s="10"/>
      <c r="K169" s="10"/>
      <c r="M169" s="10"/>
      <c r="N169" s="10"/>
    </row>
    <row r="170" spans="5:14">
      <c r="E170" s="10"/>
      <c r="G170" s="10"/>
      <c r="I170" s="10"/>
      <c r="J170" s="10"/>
      <c r="K170" s="10"/>
      <c r="M170" s="10"/>
      <c r="N170" s="10"/>
    </row>
    <row r="171" spans="5:14">
      <c r="E171" s="10"/>
      <c r="G171" s="10"/>
      <c r="I171" s="10"/>
      <c r="J171" s="10"/>
      <c r="K171" s="10"/>
      <c r="M171" s="10"/>
      <c r="N171" s="10"/>
    </row>
    <row r="172" spans="5:14">
      <c r="E172" s="10"/>
      <c r="G172" s="10"/>
      <c r="I172" s="10"/>
      <c r="J172" s="10"/>
      <c r="K172" s="10"/>
      <c r="M172" s="10"/>
      <c r="N172" s="10"/>
    </row>
    <row r="173" spans="5:14">
      <c r="E173" s="10"/>
      <c r="G173" s="10"/>
      <c r="I173" s="10"/>
      <c r="J173" s="10"/>
      <c r="K173" s="10"/>
      <c r="M173" s="10"/>
      <c r="N173" s="10"/>
    </row>
    <row r="174" spans="5:14">
      <c r="E174" s="10"/>
      <c r="G174" s="10"/>
      <c r="I174" s="10"/>
      <c r="J174" s="10"/>
      <c r="K174" s="10"/>
      <c r="M174" s="10"/>
      <c r="N174" s="10"/>
    </row>
    <row r="175" spans="5:14">
      <c r="E175" s="10"/>
      <c r="G175" s="10"/>
      <c r="I175" s="10"/>
      <c r="J175" s="10"/>
      <c r="K175" s="10"/>
      <c r="M175" s="10"/>
      <c r="N175" s="10"/>
    </row>
    <row r="176" spans="5:14">
      <c r="E176" s="10"/>
      <c r="G176" s="10"/>
      <c r="I176" s="10"/>
      <c r="J176" s="10"/>
      <c r="K176" s="10"/>
      <c r="M176" s="10"/>
      <c r="N176" s="10"/>
    </row>
    <row r="177" spans="5:14">
      <c r="E177" s="10"/>
      <c r="G177" s="10"/>
      <c r="I177" s="10"/>
      <c r="J177" s="10"/>
      <c r="K177" s="10"/>
      <c r="M177" s="10"/>
      <c r="N177" s="10"/>
    </row>
    <row r="178" spans="5:14">
      <c r="E178" s="10"/>
      <c r="G178" s="10"/>
      <c r="I178" s="10"/>
      <c r="J178" s="10"/>
      <c r="K178" s="10"/>
      <c r="M178" s="10"/>
      <c r="N178" s="10"/>
    </row>
    <row r="179" spans="5:14">
      <c r="E179" s="10"/>
      <c r="G179" s="10"/>
      <c r="I179" s="10"/>
      <c r="J179" s="10"/>
      <c r="K179" s="10"/>
      <c r="M179" s="10"/>
      <c r="N179" s="10"/>
    </row>
    <row r="180" spans="5:14">
      <c r="E180" s="10"/>
      <c r="G180" s="10"/>
      <c r="I180" s="10"/>
      <c r="J180" s="10"/>
      <c r="K180" s="10"/>
      <c r="M180" s="10"/>
      <c r="N180" s="10"/>
    </row>
    <row r="181" spans="5:14">
      <c r="E181" s="10"/>
      <c r="G181" s="10"/>
      <c r="I181" s="10"/>
      <c r="J181" s="10"/>
      <c r="K181" s="10"/>
      <c r="M181" s="10"/>
      <c r="N181" s="10"/>
    </row>
    <row r="182" spans="5:14">
      <c r="E182" s="10"/>
      <c r="G182" s="10"/>
      <c r="I182" s="10"/>
      <c r="J182" s="10"/>
      <c r="K182" s="10"/>
      <c r="M182" s="10"/>
      <c r="N182" s="10"/>
    </row>
    <row r="183" spans="5:14">
      <c r="E183" s="10"/>
      <c r="G183" s="10"/>
      <c r="I183" s="10"/>
      <c r="J183" s="10"/>
      <c r="K183" s="10"/>
      <c r="M183" s="10"/>
      <c r="N183" s="10"/>
    </row>
    <row r="184" spans="5:14">
      <c r="E184" s="10"/>
      <c r="G184" s="10"/>
      <c r="I184" s="10"/>
      <c r="J184" s="10"/>
      <c r="K184" s="10"/>
      <c r="M184" s="10"/>
      <c r="N184" s="10"/>
    </row>
    <row r="185" spans="5:14">
      <c r="E185" s="10"/>
      <c r="G185" s="10"/>
      <c r="I185" s="10"/>
      <c r="J185" s="10"/>
      <c r="K185" s="10"/>
      <c r="M185" s="10"/>
      <c r="N185" s="10"/>
    </row>
    <row r="186" spans="5:14">
      <c r="E186" s="10"/>
      <c r="G186" s="10"/>
      <c r="I186" s="10"/>
      <c r="J186" s="10"/>
      <c r="K186" s="10"/>
      <c r="M186" s="10"/>
      <c r="N186" s="10"/>
    </row>
    <row r="187" spans="5:14">
      <c r="E187" s="10"/>
      <c r="G187" s="10"/>
      <c r="I187" s="10"/>
      <c r="J187" s="10"/>
      <c r="K187" s="10"/>
      <c r="M187" s="10"/>
      <c r="N187" s="10"/>
    </row>
    <row r="188" spans="5:14">
      <c r="E188" s="10"/>
      <c r="G188" s="10"/>
      <c r="I188" s="10"/>
      <c r="J188" s="10"/>
      <c r="K188" s="10"/>
      <c r="M188" s="10"/>
      <c r="N188" s="10"/>
    </row>
    <row r="189" spans="5:14">
      <c r="E189" s="10"/>
      <c r="G189" s="10"/>
      <c r="I189" s="10"/>
      <c r="J189" s="10"/>
      <c r="K189" s="10"/>
      <c r="M189" s="10"/>
      <c r="N189" s="10"/>
    </row>
    <row r="190" spans="5:14">
      <c r="E190" s="10"/>
      <c r="G190" s="10"/>
      <c r="I190" s="10"/>
      <c r="J190" s="10"/>
      <c r="K190" s="10"/>
      <c r="M190" s="10"/>
      <c r="N190" s="10"/>
    </row>
    <row r="191" spans="5:14">
      <c r="E191" s="10"/>
      <c r="G191" s="10"/>
      <c r="I191" s="10"/>
      <c r="J191" s="10"/>
      <c r="K191" s="10"/>
      <c r="M191" s="10"/>
      <c r="N191" s="10"/>
    </row>
    <row r="192" spans="5:14">
      <c r="E192" s="10"/>
      <c r="G192" s="10"/>
      <c r="I192" s="10"/>
      <c r="J192" s="10"/>
      <c r="K192" s="10"/>
      <c r="M192" s="10"/>
      <c r="N192" s="10"/>
    </row>
    <row r="193" spans="5:14">
      <c r="E193" s="10"/>
      <c r="G193" s="10"/>
      <c r="I193" s="10"/>
      <c r="J193" s="10"/>
      <c r="K193" s="10"/>
      <c r="M193" s="10"/>
      <c r="N193" s="10"/>
    </row>
    <row r="194" spans="5:14">
      <c r="E194" s="10"/>
      <c r="G194" s="10"/>
      <c r="I194" s="10"/>
      <c r="J194" s="10"/>
      <c r="K194" s="10"/>
      <c r="M194" s="10"/>
      <c r="N194" s="10"/>
    </row>
    <row r="195" spans="5:14">
      <c r="E195" s="10"/>
      <c r="G195" s="10"/>
      <c r="I195" s="10"/>
      <c r="J195" s="10"/>
      <c r="K195" s="10"/>
      <c r="M195" s="10"/>
      <c r="N195" s="10"/>
    </row>
    <row r="196" spans="5:14">
      <c r="E196" s="10"/>
      <c r="G196" s="10"/>
      <c r="I196" s="10"/>
      <c r="J196" s="10"/>
      <c r="K196" s="10"/>
      <c r="M196" s="10"/>
      <c r="N196" s="10"/>
    </row>
    <row r="197" spans="5:14">
      <c r="E197" s="10"/>
      <c r="G197" s="10"/>
      <c r="I197" s="10"/>
      <c r="J197" s="10"/>
      <c r="K197" s="10"/>
      <c r="M197" s="10"/>
      <c r="N197" s="10"/>
    </row>
    <row r="198" spans="5:14">
      <c r="E198" s="10"/>
      <c r="G198" s="10"/>
      <c r="I198" s="10"/>
      <c r="J198" s="10"/>
      <c r="K198" s="10"/>
      <c r="M198" s="10"/>
      <c r="N198" s="10"/>
    </row>
    <row r="199" spans="5:14">
      <c r="E199" s="10"/>
      <c r="G199" s="10"/>
      <c r="I199" s="10"/>
      <c r="J199" s="10"/>
      <c r="K199" s="10"/>
      <c r="M199" s="10"/>
      <c r="N199" s="10"/>
    </row>
    <row r="200" spans="5:14">
      <c r="E200" s="10"/>
      <c r="G200" s="10"/>
      <c r="I200" s="10"/>
      <c r="J200" s="10"/>
      <c r="K200" s="10"/>
      <c r="M200" s="10"/>
      <c r="N200" s="10"/>
    </row>
    <row r="201" spans="5:14">
      <c r="E201" s="10"/>
      <c r="G201" s="10"/>
      <c r="I201" s="10"/>
      <c r="J201" s="10"/>
      <c r="K201" s="10"/>
      <c r="M201" s="10"/>
      <c r="N201" s="10"/>
    </row>
  </sheetData>
  <phoneticPr fontId="1" type="noConversion"/>
  <dataValidations count="2">
    <dataValidation type="list" allowBlank="1" showInputMessage="1" showErrorMessage="1" sqref="H1:H1048576 L1:L1048576">
      <formula1>EffectType</formula1>
    </dataValidation>
    <dataValidation type="list" allowBlank="1" showInputMessage="1" showErrorMessage="1" sqref="G1:G1048576 K1:K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B18" sqref="B18"/>
    </sheetView>
  </sheetViews>
  <sheetFormatPr defaultRowHeight="15.75"/>
  <cols>
    <col min="1" max="1" width="15.140625" customWidth="1"/>
    <col min="2" max="2" width="22.57031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155</v>
      </c>
      <c r="B9" s="2" t="s">
        <v>156</v>
      </c>
      <c r="C9" s="2" t="s">
        <v>157</v>
      </c>
      <c r="D9" s="2" t="s">
        <v>156</v>
      </c>
      <c r="E9" s="2" t="s">
        <v>204</v>
      </c>
      <c r="F9" s="2" t="s">
        <v>126</v>
      </c>
    </row>
    <row r="10" spans="1:6">
      <c r="A10" t="s">
        <v>210</v>
      </c>
      <c r="B10" t="s">
        <v>158</v>
      </c>
      <c r="C10" t="s">
        <v>159</v>
      </c>
      <c r="D10" t="s">
        <v>160</v>
      </c>
      <c r="E10" t="s">
        <v>201</v>
      </c>
      <c r="F10" t="s">
        <v>202</v>
      </c>
    </row>
    <row r="11" spans="1:6">
      <c r="A11" t="s">
        <v>211</v>
      </c>
      <c r="B11" t="s">
        <v>161</v>
      </c>
      <c r="C11" t="s">
        <v>162</v>
      </c>
      <c r="D11" t="s">
        <v>163</v>
      </c>
      <c r="E11" t="s">
        <v>200</v>
      </c>
      <c r="F11" t="s">
        <v>203</v>
      </c>
    </row>
    <row r="12" spans="1:6">
      <c r="A12" t="s">
        <v>212</v>
      </c>
      <c r="B12" t="s">
        <v>164</v>
      </c>
    </row>
    <row r="13" spans="1:6">
      <c r="A13" t="s">
        <v>213</v>
      </c>
      <c r="B13" t="s">
        <v>165</v>
      </c>
    </row>
    <row r="14" spans="1:6">
      <c r="A14" t="s">
        <v>214</v>
      </c>
      <c r="B14" t="s">
        <v>166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2023-05-03T15:29:02Z</dcterms:modified>
</cp:coreProperties>
</file>