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8" l="1"/>
  <c r="A8" i="8"/>
  <c r="A11" i="8"/>
  <c r="A12" i="8"/>
  <c r="A13" i="8"/>
  <c r="A14" i="8"/>
  <c r="A15" i="8"/>
  <c r="A16" i="8"/>
  <c r="A17" i="8"/>
  <c r="A18" i="8"/>
  <c r="A19" i="8"/>
  <c r="A20" i="8"/>
  <c r="A21" i="8"/>
  <c r="A22" i="8"/>
  <c r="A6" i="8" l="1"/>
  <c r="A5" i="8"/>
  <c r="A4" i="8"/>
  <c r="D22" i="8"/>
  <c r="D21" i="8"/>
  <c r="D20" i="8"/>
  <c r="D19" i="8"/>
  <c r="D18" i="8"/>
  <c r="D17" i="8"/>
  <c r="D16" i="8"/>
  <c r="D15" i="8"/>
  <c r="D14" i="8"/>
  <c r="D7" i="8"/>
  <c r="D8" i="8"/>
  <c r="D9" i="8"/>
  <c r="D10" i="8"/>
  <c r="D11" i="8"/>
  <c r="D12" i="8"/>
  <c r="D13" i="8"/>
  <c r="D6" i="8"/>
  <c r="D5" i="8"/>
  <c r="A3" i="8" l="1"/>
  <c r="D4" i="8" l="1"/>
  <c r="D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用逗號隔開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<sst xmlns="http://schemas.openxmlformats.org/spreadsheetml/2006/main" count="482" uniqueCount="316">
  <si>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</si>
  <si>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</si>
  <si>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</si>
  <si>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</si>
  <si>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</si>
  <si>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</si>
  <si>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</si>
  <si>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</si>
  <si>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</si>
  <si>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</si>
  <si>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</si>
  <si>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</si>
  <si>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</si>
  <si>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</si>
  <si>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</si>
  <si>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</si>
  <si>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</si>
  <si>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</si>
  <si>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</si>
  <si>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</si>
  <si>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</si>
  <si>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</si>
  <si>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</si>
  <si>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</si>
  <si>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</si>
  <si>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</si>
  <si>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</si>
  <si>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</si>
  <si>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</si>
  <si>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</si>
  <si>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</si>
  <si>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</si>
  <si>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</si>
  <si>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</si>
  <si>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</si>
  <si>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</si>
  <si>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</si>
  <si>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</si>
  <si>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</si>
  <si>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</si>
  <si>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</si>
  <si>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</si>
  <si>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</si>
  <si>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</si>
  <si>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</si>
  <si>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</si>
  <si>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</si>
  <si>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</si>
  <si>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</si>
  <si>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</si>
  <si>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</si>
  <si>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</si>
  <si>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</si>
  <si>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</si>
  <si>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</si>
  <si>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</si>
  <si>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</si>
  <si>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</si>
  <si>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</si>
  <si>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</si>
  <si>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</si>
  <si>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</si>
  <si>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</si>
  <si>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</si>
  <si>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</si>
  <si>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</si>
  <si>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</si>
  <si>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</si>
  <si>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</si>
  <si>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</si>
  <si>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</si>
  <si>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</si>
  <si>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</si>
  <si>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</si>
  <si>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</si>
  <si>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</si>
  <si>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</si>
  <si>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</si>
  <si>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</si>
  <si>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</si>
  <si>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</si>
  <si>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</si>
  <si>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</si>
  <si>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</si>
  <si>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</si>
  <si>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</si>
  <si>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</si>
  <si>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</si>
  <si>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</si>
  <si>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</si>
  <si>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</si>
  <si>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</si>
  <si>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</si>
  <si>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</si>
  <si>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</si>
  <si>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</si>
  <si>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</si>
  <si>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</si>
  <si>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</si>
  <si>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</si>
  <si>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</si>
  <si>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</si>
  <si>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</si>
  <si>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</si>
  <si>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</si>
  <si>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</si>
  <si>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</si>
  <si>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</si>
  <si>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</si>
  <si>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</si>
  <si>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</si>
  <si>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</si>
  <si>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</si>
  <si>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</si>
  <si>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</si>
  <si>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</si>
  <si>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</si>
  <si>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</si>
  <si>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</si>
  <si>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</si>
  <si>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</si>
  <si>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</si>
  <si>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</si>
  <si>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</si>
  <si>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</si>
  <si>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</si>
  <si>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</si>
  <si>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</si>
  <si>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</si>
  <si>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</si>
  <si>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</si>
  <si>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</si>
  <si>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</si>
  <si>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</si>
  <si>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</si>
  <si>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</si>
  <si>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</si>
  <si>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</si>
  <si>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</si>
  <si>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</si>
  <si>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</si>
  <si>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</si>
  <si>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</si>
  <si>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</si>
  <si>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</si>
  <si>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</si>
  <si>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</si>
  <si>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</si>
  <si>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</si>
  <si>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</si>
  <si>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</si>
  <si>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</si>
  <si>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</si>
  <si>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</si>
  <si>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</si>
  <si>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</si>
  <si>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</si>
  <si>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</si>
  <si>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</si>
  <si>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</si>
  <si>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</si>
  <si>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</si>
  <si>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</si>
  <si>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</si>
  <si>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</si>
  <si>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</si>
  <si>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</si>
  <si>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</si>
  <si>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</si>
  <si>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</si>
  <si>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</si>
  <si>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</si>
  <si>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</si>
  <si>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</si>
  <si>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</si>
  <si>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</si>
  <si>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</si>
  <si>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</si>
  <si>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</si>
  <si>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</si>
  <si>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</si>
  <si>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</si>
  <si>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</si>
  <si>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</si>
  <si>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</si>
  <si>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</si>
  <si>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</si>
  <si>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</si>
  <si>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</si>
  <si>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</si>
  <si>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</si>
  <si>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</si>
  <si>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</si>
  <si>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</si>
  <si>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</si>
  <si>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</si>
  <si>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</si>
  <si>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</si>
  <si>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</si>
  <si>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</si>
  <si>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</si>
  <si>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</si>
  <si>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</si>
  <si>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</si>
  <si>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</si>
  <si>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</si>
  <si>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</si>
  <si>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</si>
  <si>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</si>
  <si>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</si>
  <si>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</si>
  <si>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</si>
  <si>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</si>
  <si>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</si>
  <si>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</si>
  <si>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</si>
  <si>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</si>
  <si>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</si>
  <si>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</si>
  <si>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</si>
  <si>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</si>
  <si>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</si>
  <si>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</si>
  <si>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</si>
  <si>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</si>
  <si>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</si>
  <si>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</si>
  <si>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</si>
  <si>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</si>
  <si>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</si>
  <si>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</si>
  <si>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</si>
  <si>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</si>
  <si>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</si>
  <si>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</si>
  <si>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</si>
  <si>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</si>
  <si>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</si>
  <si>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</si>
  <si>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</si>
  <si>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</si>
  <si>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</si>
  <si>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</si>
  <si>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</si>
  <si>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</si>
  <si>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</si>
  <si>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</si>
  <si>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</si>
  <si>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</si>
  <si>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</si>
  <si>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</si>
  <si>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</si>
  <si>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</si>
  <si>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</si>
  <si>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</si>
  <si>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</si>
  <si>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</si>
  <si>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</si>
  <si>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</si>
  <si>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</si>
  <si>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</si>
  <si>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</si>
  <si>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</si>
  <si>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</si>
  <si>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</si>
  <si>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</si>
  <si>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M2</t>
    <phoneticPr fontId="1" type="noConversion"/>
  </si>
  <si>
    <t>黑甲百足</t>
    <phoneticPr fontId="1" type="noConversion"/>
  </si>
  <si>
    <t>弱點是鈍器</t>
    <phoneticPr fontId="1" type="noConversion"/>
  </si>
  <si>
    <t>M3</t>
    <phoneticPr fontId="1" type="noConversion"/>
  </si>
  <si>
    <t>消瘦的野獸</t>
    <phoneticPr fontId="1" type="noConversion"/>
  </si>
  <si>
    <t>6_M1</t>
    <phoneticPr fontId="1" type="noConversion"/>
  </si>
  <si>
    <t>大黑鳥</t>
    <phoneticPr fontId="1" type="noConversion"/>
  </si>
  <si>
    <t>劇本2怪物</t>
    <phoneticPr fontId="1" type="noConversion"/>
  </si>
  <si>
    <t>劇本6怪物</t>
    <phoneticPr fontId="1" type="noConversion"/>
  </si>
  <si>
    <t>劇本7怪物</t>
    <phoneticPr fontId="1" type="noConversion"/>
  </si>
  <si>
    <t>廁所多手怪</t>
    <phoneticPr fontId="1" type="noConversion"/>
  </si>
  <si>
    <t>7_M1</t>
    <phoneticPr fontId="1" type="noConversion"/>
  </si>
  <si>
    <t>劇本8怪物</t>
    <phoneticPr fontId="1" type="noConversion"/>
  </si>
  <si>
    <t>無眼老婦人</t>
    <phoneticPr fontId="1" type="noConversion"/>
  </si>
  <si>
    <t>8_M1</t>
    <phoneticPr fontId="1" type="noConversion"/>
  </si>
  <si>
    <t>錫帽瘋子</t>
    <phoneticPr fontId="1" type="noConversion"/>
  </si>
  <si>
    <t>錫帽怪</t>
    <phoneticPr fontId="1" type="noConversion"/>
  </si>
  <si>
    <t>劇本9怪物</t>
    <phoneticPr fontId="1" type="noConversion"/>
  </si>
  <si>
    <t>9_M1</t>
    <phoneticPr fontId="1" type="noConversion"/>
  </si>
  <si>
    <t>9_M2</t>
    <phoneticPr fontId="1" type="noConversion"/>
  </si>
  <si>
    <t>骷髏先生</t>
    <phoneticPr fontId="1" type="noConversion"/>
  </si>
  <si>
    <t>M5</t>
    <phoneticPr fontId="1" type="noConversion"/>
  </si>
  <si>
    <t>倒懸者</t>
    <phoneticPr fontId="1" type="noConversion"/>
  </si>
  <si>
    <t>M6</t>
    <phoneticPr fontId="1" type="noConversion"/>
  </si>
  <si>
    <t>玩偶人</t>
    <phoneticPr fontId="1" type="noConversion"/>
  </si>
  <si>
    <t>M7</t>
    <phoneticPr fontId="1" type="noConversion"/>
  </si>
  <si>
    <t>貴婦</t>
    <phoneticPr fontId="1" type="noConversion"/>
  </si>
  <si>
    <t>M8</t>
    <phoneticPr fontId="1" type="noConversion"/>
  </si>
  <si>
    <t>M9</t>
    <phoneticPr fontId="1" type="noConversion"/>
  </si>
  <si>
    <t>黑毛怪</t>
    <phoneticPr fontId="1" type="noConversion"/>
  </si>
  <si>
    <t>螃蟹蜘蛛怪</t>
    <phoneticPr fontId="1" type="noConversion"/>
  </si>
  <si>
    <t>M11</t>
    <phoneticPr fontId="1" type="noConversion"/>
  </si>
  <si>
    <t>畸形人</t>
    <phoneticPr fontId="1" type="noConversion"/>
  </si>
  <si>
    <t>M12</t>
    <phoneticPr fontId="1" type="noConversion"/>
  </si>
  <si>
    <t>章魚人</t>
    <phoneticPr fontId="1" type="noConversion"/>
  </si>
  <si>
    <t>M13</t>
    <phoneticPr fontId="1" type="noConversion"/>
  </si>
  <si>
    <t>海星人</t>
    <phoneticPr fontId="1" type="noConversion"/>
  </si>
  <si>
    <t>M14</t>
    <phoneticPr fontId="1" type="noConversion"/>
  </si>
  <si>
    <t>仙人掌人</t>
    <phoneticPr fontId="1" type="noConversion"/>
  </si>
  <si>
    <t>M15</t>
    <phoneticPr fontId="1" type="noConversion"/>
  </si>
  <si>
    <t>綿羊怪</t>
    <phoneticPr fontId="1" type="noConversion"/>
  </si>
  <si>
    <t>M16</t>
    <phoneticPr fontId="1" type="noConversion"/>
  </si>
  <si>
    <t>水蛭怪</t>
    <phoneticPr fontId="1" type="noConversion"/>
  </si>
  <si>
    <t>M17</t>
    <phoneticPr fontId="1" type="noConversion"/>
  </si>
  <si>
    <t>10</t>
    <phoneticPr fontId="1" type="noConversion"/>
  </si>
  <si>
    <t>5</t>
    <phoneticPr fontId="1" type="noConversion"/>
  </si>
  <si>
    <t>40</t>
    <phoneticPr fontId="1" type="noConversion"/>
  </si>
  <si>
    <t>特效</t>
    <phoneticPr fontId="1" type="noConversion"/>
  </si>
  <si>
    <t>Claw</t>
    <phoneticPr fontId="1" type="noConversion"/>
  </si>
  <si>
    <t>Particles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</si>
</sst>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73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B17" sqref="B1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188</v>
      </c>
      <c r="G1" s="9" t="s">
        <v>187</v>
      </c>
      <c r="H1" s="9" t="s">
        <v>176</v>
      </c>
      <c r="I1" s="17" t="s">
        <v>133</v>
      </c>
      <c r="J1" s="17" t="s">
        <v>180</v>
      </c>
      <c r="K1" s="17" t="s">
        <v>134</v>
      </c>
      <c r="L1" s="17" t="s">
        <v>181</v>
      </c>
      <c r="M1" s="17" t="s">
        <v>183</v>
      </c>
      <c r="N1" s="17" t="s">
        <v>182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189</v>
      </c>
      <c r="G2" s="9" t="s">
        <v>127</v>
      </c>
      <c r="H2" s="9" t="s">
        <v>177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169</v>
      </c>
      <c r="C4" s="16" t="s">
        <v>170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196</v>
      </c>
      <c r="C6" s="16"/>
      <c r="E6" s="10"/>
      <c r="F6" s="10"/>
    </row>
    <row r="7" spans="1:14">
      <c r="A7" s="10">
        <v>1</v>
      </c>
      <c r="B7" s="13" t="s">
        <v>267</v>
      </c>
      <c r="C7" s="16" t="s">
        <v>268</v>
      </c>
      <c r="D7" s="13">
        <v>1</v>
      </c>
      <c r="E7" s="10" t="s">
        <v>266</v>
      </c>
      <c r="F7" s="10" t="s">
        <v>190</v>
      </c>
      <c r="G7" s="10">
        <v>100</v>
      </c>
      <c r="H7" s="10" t="s">
        <v>178</v>
      </c>
      <c r="I7" s="18">
        <v>1.5</v>
      </c>
      <c r="J7" s="18">
        <v>0.6</v>
      </c>
      <c r="K7" s="18">
        <v>0.8</v>
      </c>
      <c r="L7" s="18">
        <v>1</v>
      </c>
      <c r="M7" s="18">
        <v>0.5</v>
      </c>
      <c r="N7" s="18">
        <v>0.8</v>
      </c>
    </row>
    <row r="8" spans="1:14" ht="31.5">
      <c r="A8" s="10">
        <v>2</v>
      </c>
      <c r="B8" s="13" t="s">
        <v>139</v>
      </c>
      <c r="C8" s="16" t="s">
        <v>173</v>
      </c>
      <c r="D8" s="13">
        <v>1</v>
      </c>
      <c r="E8" s="10" t="s">
        <v>269</v>
      </c>
      <c r="F8" s="10" t="s">
        <v>190</v>
      </c>
      <c r="G8" s="10">
        <v>100</v>
      </c>
      <c r="H8" s="10" t="s">
        <v>178</v>
      </c>
      <c r="I8" s="18">
        <v>1.2</v>
      </c>
      <c r="J8" s="18">
        <v>0.6</v>
      </c>
      <c r="K8" s="18">
        <v>0.8</v>
      </c>
      <c r="L8" s="18">
        <v>1</v>
      </c>
      <c r="M8" s="18">
        <v>0.7</v>
      </c>
      <c r="N8" s="18">
        <v>0.9</v>
      </c>
    </row>
    <row r="9" spans="1:14">
      <c r="A9" s="10">
        <v>3</v>
      </c>
      <c r="B9" s="13" t="s">
        <v>295</v>
      </c>
      <c r="C9" s="16"/>
      <c r="D9" s="13">
        <v>1</v>
      </c>
      <c r="E9" s="10" t="s">
        <v>294</v>
      </c>
      <c r="F9" s="10" t="s">
        <v>190</v>
      </c>
      <c r="G9" s="10">
        <v>100</v>
      </c>
      <c r="H9" s="10" t="s">
        <v>179</v>
      </c>
      <c r="I9" s="18">
        <v>1.3</v>
      </c>
      <c r="J9" s="18">
        <v>0.6</v>
      </c>
      <c r="K9" s="18">
        <v>0.9</v>
      </c>
      <c r="L9" s="18">
        <v>0.9</v>
      </c>
      <c r="M9" s="18">
        <v>0.8</v>
      </c>
      <c r="N9" s="18">
        <v>0.9</v>
      </c>
    </row>
    <row r="10" spans="1:14">
      <c r="A10" s="10">
        <v>4</v>
      </c>
      <c r="B10" s="13" t="s">
        <v>300</v>
      </c>
      <c r="C10" s="16"/>
      <c r="D10" s="13">
        <v>1</v>
      </c>
      <c r="E10" s="10" t="s">
        <v>301</v>
      </c>
      <c r="F10" s="10" t="s">
        <v>190</v>
      </c>
      <c r="G10" s="10">
        <v>100</v>
      </c>
      <c r="H10" s="10" t="s">
        <v>179</v>
      </c>
      <c r="I10" s="18">
        <v>1.3</v>
      </c>
      <c r="J10" s="18">
        <v>0.6</v>
      </c>
      <c r="K10" s="18">
        <v>0.9</v>
      </c>
      <c r="L10" s="18">
        <v>0.9</v>
      </c>
      <c r="M10" s="18">
        <v>0.8</v>
      </c>
      <c r="N10" s="18">
        <v>0.9</v>
      </c>
    </row>
    <row r="11" spans="1:14">
      <c r="B11" s="13"/>
      <c r="C11" s="16"/>
      <c r="E11" s="10"/>
      <c r="F11" s="10"/>
    </row>
    <row r="12" spans="1:14">
      <c r="B12" s="21" t="s">
        <v>197</v>
      </c>
      <c r="C12" s="16"/>
      <c r="E12" s="10"/>
      <c r="F12" s="10"/>
    </row>
    <row r="13" spans="1:14">
      <c r="A13" s="10">
        <v>1001</v>
      </c>
      <c r="B13" s="16" t="s">
        <v>270</v>
      </c>
      <c r="C13" s="16" t="s">
        <v>273</v>
      </c>
      <c r="D13" s="13">
        <v>1</v>
      </c>
      <c r="E13" s="10">
        <v>2</v>
      </c>
      <c r="F13" s="10" t="s">
        <v>190</v>
      </c>
      <c r="G13" s="10">
        <v>70</v>
      </c>
      <c r="H13" s="10" t="s">
        <v>179</v>
      </c>
      <c r="I13" s="18">
        <v>1.5</v>
      </c>
      <c r="J13" s="18">
        <v>0.6</v>
      </c>
      <c r="K13" s="18">
        <v>0.9</v>
      </c>
      <c r="L13" s="18">
        <v>0.8</v>
      </c>
      <c r="M13" s="18">
        <v>0.8</v>
      </c>
      <c r="N13" s="18">
        <v>0.6</v>
      </c>
    </row>
    <row r="14" spans="1:14">
      <c r="A14" s="10">
        <v>1002</v>
      </c>
      <c r="B14" s="16" t="s">
        <v>272</v>
      </c>
      <c r="C14" s="16" t="s">
        <v>274</v>
      </c>
      <c r="D14" s="13">
        <v>1</v>
      </c>
      <c r="E14" s="10" t="s">
        <v>271</v>
      </c>
      <c r="F14" s="10" t="s">
        <v>190</v>
      </c>
      <c r="G14" s="10">
        <v>60</v>
      </c>
      <c r="H14" s="10" t="s">
        <v>178</v>
      </c>
      <c r="I14" s="18">
        <v>1.5</v>
      </c>
      <c r="J14" s="18">
        <v>0.5</v>
      </c>
      <c r="K14" s="18">
        <v>1</v>
      </c>
      <c r="L14" s="18">
        <v>0.7</v>
      </c>
      <c r="M14" s="18">
        <v>1</v>
      </c>
      <c r="N14" s="18">
        <v>0.5</v>
      </c>
    </row>
    <row r="15" spans="1:14">
      <c r="A15" s="10">
        <v>1003</v>
      </c>
      <c r="B15" s="16" t="s">
        <v>276</v>
      </c>
      <c r="C15" s="16" t="s">
        <v>275</v>
      </c>
      <c r="D15" s="13">
        <v>1</v>
      </c>
      <c r="E15" s="10" t="s">
        <v>277</v>
      </c>
      <c r="F15" s="10" t="s">
        <v>190</v>
      </c>
      <c r="G15" s="10">
        <v>50</v>
      </c>
      <c r="I15" s="18">
        <v>1.3</v>
      </c>
      <c r="J15" s="18">
        <v>0.7</v>
      </c>
      <c r="K15" s="18">
        <v>0.9</v>
      </c>
      <c r="L15" s="18">
        <v>0.8</v>
      </c>
      <c r="M15" s="18">
        <v>0.8</v>
      </c>
      <c r="N15" s="18">
        <v>0.9</v>
      </c>
    </row>
    <row r="16" spans="1:14">
      <c r="A16" s="10">
        <v>1004</v>
      </c>
      <c r="B16" s="16" t="s">
        <v>279</v>
      </c>
      <c r="C16" s="16" t="s">
        <v>278</v>
      </c>
      <c r="D16" s="13">
        <v>1</v>
      </c>
      <c r="E16" s="10" t="s">
        <v>280</v>
      </c>
      <c r="F16" s="10" t="s">
        <v>190</v>
      </c>
      <c r="G16" s="10">
        <v>40</v>
      </c>
      <c r="I16" s="18">
        <v>1.5</v>
      </c>
      <c r="J16" s="18">
        <v>0.7</v>
      </c>
      <c r="K16" s="18">
        <v>1</v>
      </c>
      <c r="L16" s="18">
        <v>0.9</v>
      </c>
      <c r="M16" s="18">
        <v>0.9</v>
      </c>
      <c r="N16" s="18">
        <v>0.7</v>
      </c>
    </row>
    <row r="17" spans="1:14">
      <c r="A17" s="10">
        <v>1005</v>
      </c>
      <c r="B17" s="16" t="s">
        <v>281</v>
      </c>
      <c r="C17" s="16" t="s">
        <v>283</v>
      </c>
      <c r="D17" s="13">
        <v>1</v>
      </c>
      <c r="E17" s="10" t="s">
        <v>284</v>
      </c>
      <c r="F17" s="10" t="s">
        <v>190</v>
      </c>
      <c r="G17" s="10">
        <v>50</v>
      </c>
      <c r="I17" s="18">
        <v>1.5</v>
      </c>
      <c r="J17" s="18">
        <v>0.7</v>
      </c>
      <c r="K17" s="18">
        <v>1</v>
      </c>
      <c r="L17" s="18">
        <v>0.9</v>
      </c>
      <c r="M17" s="18">
        <v>0.9</v>
      </c>
      <c r="N17" s="18">
        <v>0.7</v>
      </c>
    </row>
    <row r="18" spans="1:14">
      <c r="A18" s="10">
        <v>1006</v>
      </c>
      <c r="B18" s="16" t="s">
        <v>282</v>
      </c>
      <c r="C18" s="16" t="s">
        <v>283</v>
      </c>
      <c r="D18" s="13">
        <v>1</v>
      </c>
      <c r="E18" s="10" t="s">
        <v>285</v>
      </c>
      <c r="F18" s="10" t="s">
        <v>190</v>
      </c>
      <c r="G18" s="10">
        <v>40</v>
      </c>
      <c r="H18" s="10" t="s">
        <v>179</v>
      </c>
      <c r="I18" s="18">
        <v>1.2</v>
      </c>
      <c r="J18" s="18">
        <v>0.5</v>
      </c>
      <c r="K18" s="18">
        <v>1</v>
      </c>
      <c r="L18" s="18">
        <v>0.7</v>
      </c>
      <c r="M18" s="18">
        <v>1</v>
      </c>
      <c r="N18" s="18">
        <v>0.6</v>
      </c>
    </row>
    <row r="19" spans="1:14">
      <c r="A19" s="10">
        <v>5001</v>
      </c>
      <c r="B19" s="13" t="s">
        <v>286</v>
      </c>
      <c r="C19" s="16"/>
      <c r="D19" s="13">
        <v>1</v>
      </c>
      <c r="E19" s="10" t="s">
        <v>287</v>
      </c>
      <c r="F19" t="s">
        <v>192</v>
      </c>
      <c r="G19" s="10">
        <v>60</v>
      </c>
      <c r="H19" s="10" t="s">
        <v>178</v>
      </c>
      <c r="I19" s="18">
        <v>0.9</v>
      </c>
      <c r="J19" s="18">
        <v>0.7</v>
      </c>
      <c r="K19" s="18">
        <v>0.8</v>
      </c>
      <c r="L19" s="18">
        <v>1</v>
      </c>
      <c r="M19" s="18">
        <v>0.7</v>
      </c>
      <c r="N19" s="18">
        <v>0.8</v>
      </c>
    </row>
    <row r="20" spans="1:14">
      <c r="A20" s="10">
        <v>5002</v>
      </c>
      <c r="B20" s="13" t="s">
        <v>288</v>
      </c>
      <c r="C20" s="16"/>
      <c r="D20" s="13">
        <v>1</v>
      </c>
      <c r="E20" s="10" t="s">
        <v>289</v>
      </c>
      <c r="F20" t="s">
        <v>192</v>
      </c>
      <c r="G20" s="10">
        <v>70</v>
      </c>
      <c r="I20" s="18">
        <v>1.4</v>
      </c>
      <c r="J20" s="18">
        <v>0.6</v>
      </c>
      <c r="K20" s="18">
        <v>0.9</v>
      </c>
      <c r="L20" s="18">
        <v>0.8</v>
      </c>
      <c r="M20" s="18">
        <v>0.8</v>
      </c>
      <c r="N20" s="18">
        <v>0.7</v>
      </c>
    </row>
    <row r="21" spans="1:14">
      <c r="A21" s="10">
        <v>5003</v>
      </c>
      <c r="B21" s="13" t="s">
        <v>290</v>
      </c>
      <c r="C21" s="16"/>
      <c r="D21" s="13">
        <v>1</v>
      </c>
      <c r="E21" s="10" t="s">
        <v>291</v>
      </c>
      <c r="F21" t="s">
        <v>192</v>
      </c>
      <c r="G21" s="10">
        <v>40</v>
      </c>
      <c r="I21" s="18">
        <v>1</v>
      </c>
      <c r="J21" s="18">
        <v>0.6</v>
      </c>
      <c r="K21" s="18">
        <v>0.9</v>
      </c>
      <c r="L21" s="18">
        <v>0.8</v>
      </c>
      <c r="M21" s="18">
        <v>0.8</v>
      </c>
      <c r="N21" s="18">
        <v>0.7</v>
      </c>
    </row>
    <row r="22" spans="1:14">
      <c r="A22" s="10">
        <v>5004</v>
      </c>
      <c r="B22" s="13" t="s">
        <v>292</v>
      </c>
      <c r="C22" s="16"/>
      <c r="D22" s="13">
        <v>1</v>
      </c>
      <c r="E22" s="10" t="s">
        <v>293</v>
      </c>
      <c r="F22" t="s">
        <v>192</v>
      </c>
      <c r="G22" s="10">
        <v>40</v>
      </c>
      <c r="I22" s="18">
        <v>1.5</v>
      </c>
      <c r="J22" s="18">
        <v>0.7</v>
      </c>
      <c r="K22" s="18">
        <v>1</v>
      </c>
      <c r="L22" s="18">
        <v>0.9</v>
      </c>
      <c r="M22" s="18">
        <v>0.9</v>
      </c>
      <c r="N22" s="18">
        <v>0.7</v>
      </c>
    </row>
    <row r="23" spans="1:14">
      <c r="A23" s="10">
        <v>5005</v>
      </c>
      <c r="B23" s="13" t="s">
        <v>296</v>
      </c>
      <c r="C23" s="16"/>
      <c r="D23" s="13">
        <v>1</v>
      </c>
      <c r="E23" s="10" t="s">
        <v>297</v>
      </c>
      <c r="F23" t="s">
        <v>192</v>
      </c>
      <c r="G23" s="10">
        <v>60</v>
      </c>
      <c r="H23" s="10" t="s">
        <v>178</v>
      </c>
      <c r="I23" s="18">
        <v>1.5</v>
      </c>
      <c r="J23" s="18">
        <v>0.8</v>
      </c>
      <c r="K23" s="18">
        <v>0.9</v>
      </c>
      <c r="L23" s="18">
        <v>0.8</v>
      </c>
      <c r="M23" s="18">
        <v>0.8</v>
      </c>
      <c r="N23" s="18">
        <v>0.9</v>
      </c>
    </row>
    <row r="24" spans="1:14">
      <c r="A24" s="10">
        <v>5006</v>
      </c>
      <c r="B24" s="13" t="s">
        <v>298</v>
      </c>
      <c r="C24" s="16"/>
      <c r="D24" s="13">
        <v>1</v>
      </c>
      <c r="E24" s="10" t="s">
        <v>299</v>
      </c>
      <c r="F24" t="s">
        <v>192</v>
      </c>
      <c r="G24" s="10">
        <v>50</v>
      </c>
      <c r="H24" s="10" t="s">
        <v>179</v>
      </c>
      <c r="I24" s="18">
        <v>1.5</v>
      </c>
      <c r="J24" s="18">
        <v>0.6</v>
      </c>
      <c r="K24" s="18">
        <v>0.9</v>
      </c>
      <c r="L24" s="18">
        <v>0.8</v>
      </c>
      <c r="M24" s="18">
        <v>0.8</v>
      </c>
      <c r="N24" s="18">
        <v>0.7</v>
      </c>
    </row>
    <row r="25" spans="1:14">
      <c r="A25" s="10">
        <v>5007</v>
      </c>
      <c r="B25" s="13" t="s">
        <v>302</v>
      </c>
      <c r="C25" s="16"/>
      <c r="D25" s="13">
        <v>1</v>
      </c>
      <c r="E25" s="10" t="s">
        <v>303</v>
      </c>
      <c r="F25" t="s">
        <v>192</v>
      </c>
      <c r="G25" s="10">
        <v>50</v>
      </c>
      <c r="H25" s="10" t="s">
        <v>179</v>
      </c>
      <c r="I25" s="18">
        <v>1.5</v>
      </c>
      <c r="J25" s="18">
        <v>0.6</v>
      </c>
      <c r="K25" s="18">
        <v>0.9</v>
      </c>
      <c r="L25" s="18">
        <v>0.9</v>
      </c>
      <c r="M25" s="18">
        <v>0.8</v>
      </c>
      <c r="N25" s="18">
        <v>0.8</v>
      </c>
    </row>
    <row r="26" spans="1:14">
      <c r="A26" s="10">
        <v>5008</v>
      </c>
      <c r="B26" s="13" t="s">
        <v>304</v>
      </c>
      <c r="C26" s="16"/>
      <c r="D26" s="13">
        <v>1</v>
      </c>
      <c r="E26" s="10" t="s">
        <v>305</v>
      </c>
      <c r="F26" t="s">
        <v>192</v>
      </c>
      <c r="G26" s="10">
        <v>50</v>
      </c>
      <c r="H26" s="10" t="s">
        <v>178</v>
      </c>
      <c r="I26" s="18">
        <v>1.5</v>
      </c>
      <c r="J26" s="18">
        <v>0.6</v>
      </c>
      <c r="K26" s="18">
        <v>0.9</v>
      </c>
      <c r="L26" s="18">
        <v>0.9</v>
      </c>
      <c r="M26" s="18">
        <v>0.8</v>
      </c>
      <c r="N26" s="18">
        <v>0.8</v>
      </c>
    </row>
    <row r="27" spans="1:14">
      <c r="A27" s="10">
        <v>5009</v>
      </c>
      <c r="B27" s="13" t="s">
        <v>306</v>
      </c>
      <c r="C27" s="16"/>
      <c r="D27" s="13">
        <v>1</v>
      </c>
      <c r="E27" s="10" t="s">
        <v>307</v>
      </c>
      <c r="F27" t="s">
        <v>192</v>
      </c>
      <c r="G27" s="10">
        <v>40</v>
      </c>
      <c r="H27" s="10" t="s">
        <v>179</v>
      </c>
      <c r="I27" s="18">
        <v>1.5</v>
      </c>
      <c r="J27" s="18">
        <v>0.6</v>
      </c>
      <c r="K27" s="18">
        <v>0.9</v>
      </c>
      <c r="L27" s="18">
        <v>0.9</v>
      </c>
      <c r="M27" s="18">
        <v>0.8</v>
      </c>
      <c r="N27" s="18">
        <v>0.8</v>
      </c>
    </row>
    <row r="28" spans="1:14">
      <c r="A28" s="10">
        <v>5010</v>
      </c>
      <c r="B28" s="13" t="s">
        <v>308</v>
      </c>
      <c r="C28" s="16"/>
      <c r="D28" s="13">
        <v>1</v>
      </c>
      <c r="E28" s="10" t="s">
        <v>309</v>
      </c>
      <c r="F28" t="s">
        <v>192</v>
      </c>
      <c r="G28" s="10">
        <v>60</v>
      </c>
      <c r="H28" s="10" t="s">
        <v>179</v>
      </c>
      <c r="I28" s="18">
        <v>1</v>
      </c>
      <c r="J28" s="18">
        <v>0.6</v>
      </c>
      <c r="K28" s="18">
        <v>0.9</v>
      </c>
      <c r="L28" s="18">
        <v>0.9</v>
      </c>
      <c r="M28" s="18">
        <v>0.8</v>
      </c>
      <c r="N28" s="18">
        <v>0.8</v>
      </c>
    </row>
    <row r="29" spans="1:14">
      <c r="A29" s="11" t="s">
        <v>0</v>
      </c>
      <c r="B29" s="13"/>
      <c r="C29" s="16"/>
      <c r="E29" s="10"/>
      <c r="F29" s="10"/>
    </row>
    <row r="30" spans="1:14">
      <c r="B30" s="13"/>
      <c r="C30" s="16"/>
      <c r="E30" s="10"/>
      <c r="F30" s="10"/>
    </row>
    <row r="31" spans="1:14">
      <c r="B31" s="13"/>
      <c r="C31" s="16"/>
      <c r="E31" s="10"/>
      <c r="F31" s="10"/>
    </row>
    <row r="32" spans="1:14">
      <c r="B32" s="13"/>
      <c r="C32" s="16"/>
      <c r="E32" s="10"/>
      <c r="F32" s="10"/>
    </row>
    <row r="33" spans="2:14">
      <c r="B33" s="13"/>
      <c r="C33" s="16"/>
      <c r="E33" s="10"/>
      <c r="F33" s="10"/>
    </row>
    <row r="34" spans="2:14">
      <c r="B34" s="13"/>
      <c r="C34" s="16"/>
      <c r="E34" s="10"/>
      <c r="F34" s="10"/>
    </row>
    <row r="35" spans="2:14">
      <c r="B35" s="13"/>
      <c r="C35" s="16"/>
      <c r="E35" s="10"/>
      <c r="F35" s="10"/>
    </row>
    <row r="36" spans="2:14">
      <c r="B36" s="13"/>
      <c r="C36" s="16"/>
      <c r="E36" s="10"/>
      <c r="F36" s="10"/>
    </row>
    <row r="37" spans="2:14">
      <c r="B37" s="13"/>
      <c r="C37" s="16"/>
      <c r="E37" s="10"/>
      <c r="F37" s="10"/>
    </row>
    <row r="38" spans="2:14">
      <c r="B38" s="13"/>
      <c r="C38" s="16"/>
      <c r="E38" s="10"/>
      <c r="F38" s="10"/>
    </row>
    <row r="39" spans="2:14">
      <c r="B39" s="13"/>
      <c r="C39" s="16"/>
      <c r="E39" s="10"/>
      <c r="F39" s="10"/>
    </row>
    <row r="40" spans="2:14">
      <c r="B40" s="13"/>
      <c r="C40" s="16"/>
      <c r="E40" s="10"/>
      <c r="F40" s="10"/>
    </row>
    <row r="41" spans="2:14">
      <c r="B41" s="13"/>
      <c r="C41" s="16"/>
      <c r="E41" s="10"/>
      <c r="F41" s="10"/>
    </row>
    <row r="42" spans="2:14">
      <c r="B42" s="13"/>
      <c r="C42" s="16"/>
      <c r="E42" s="10"/>
      <c r="F42" s="10"/>
    </row>
    <row r="43" spans="2:14">
      <c r="B43" s="13"/>
      <c r="C43" s="16"/>
      <c r="E43" s="10"/>
      <c r="F43" s="10"/>
    </row>
    <row r="44" spans="2:14">
      <c r="B44" s="13"/>
      <c r="C44" s="16"/>
      <c r="E44" s="10"/>
      <c r="F44" s="10"/>
    </row>
    <row r="45" spans="2:14">
      <c r="B45" s="13"/>
      <c r="C45" s="16"/>
      <c r="E45" s="10"/>
      <c r="F45" s="10"/>
    </row>
    <row r="46" spans="2:14">
      <c r="B46" s="13" t="s">
        <v>130</v>
      </c>
      <c r="C46" s="16" t="s">
        <v>172</v>
      </c>
      <c r="D46" s="13">
        <v>1</v>
      </c>
      <c r="E46" s="10" t="s">
        <v>200</v>
      </c>
      <c r="F46" s="10"/>
      <c r="G46" s="10">
        <v>50</v>
      </c>
      <c r="H46" s="10" t="s">
        <v>179</v>
      </c>
      <c r="I46" s="18">
        <v>1</v>
      </c>
      <c r="J46" s="18">
        <v>0.6</v>
      </c>
      <c r="K46" s="18">
        <v>0.8</v>
      </c>
      <c r="L46" s="18">
        <v>0.9</v>
      </c>
      <c r="M46" s="18">
        <v>0.6</v>
      </c>
      <c r="N46" s="18">
        <v>1</v>
      </c>
    </row>
    <row r="47" spans="2:14" ht="31.5">
      <c r="B47" s="13" t="s">
        <v>139</v>
      </c>
      <c r="C47" s="16" t="s">
        <v>173</v>
      </c>
      <c r="D47" s="13">
        <v>1</v>
      </c>
      <c r="E47" s="10" t="s">
        <v>200</v>
      </c>
      <c r="F47" s="10"/>
      <c r="G47" s="10">
        <v>60</v>
      </c>
      <c r="H47" s="10" t="s">
        <v>178</v>
      </c>
      <c r="I47" s="18">
        <v>1.1000000000000001</v>
      </c>
      <c r="J47" s="18">
        <v>0.5</v>
      </c>
      <c r="K47" s="18">
        <v>0.8</v>
      </c>
      <c r="L47" s="18">
        <v>0.8</v>
      </c>
      <c r="M47" s="18">
        <v>0.7</v>
      </c>
      <c r="N47" s="18">
        <v>1</v>
      </c>
    </row>
    <row r="48" spans="2:14" ht="31.5">
      <c r="B48" s="13" t="s">
        <v>141</v>
      </c>
      <c r="C48" s="16" t="s">
        <v>171</v>
      </c>
      <c r="D48" s="13">
        <v>1</v>
      </c>
      <c r="E48" s="10" t="s">
        <v>200</v>
      </c>
      <c r="F48" s="10"/>
      <c r="G48" s="10">
        <v>50</v>
      </c>
      <c r="I48" s="18">
        <v>1</v>
      </c>
      <c r="J48" s="18">
        <v>0.7</v>
      </c>
      <c r="K48" s="18">
        <v>0.8</v>
      </c>
      <c r="L48" s="18">
        <v>0.8</v>
      </c>
      <c r="M48" s="18">
        <v>0.6</v>
      </c>
      <c r="N48" s="18">
        <v>1</v>
      </c>
    </row>
    <row r="49" spans="2:14" ht="47.25">
      <c r="B49" s="13" t="s">
        <v>142</v>
      </c>
      <c r="C49" s="16" t="s">
        <v>174</v>
      </c>
      <c r="D49" s="13">
        <v>1</v>
      </c>
      <c r="E49" s="10" t="s">
        <v>200</v>
      </c>
      <c r="F49" s="10"/>
      <c r="G49" s="10">
        <v>50</v>
      </c>
      <c r="I49" s="18">
        <v>1</v>
      </c>
      <c r="J49" s="18">
        <v>0.5</v>
      </c>
      <c r="K49" s="18">
        <v>0.9</v>
      </c>
      <c r="L49" s="18">
        <v>0.9</v>
      </c>
      <c r="M49" s="18">
        <v>0.6</v>
      </c>
      <c r="N49" s="18">
        <v>1</v>
      </c>
    </row>
    <row r="50" spans="2:14">
      <c r="B50" s="13" t="s">
        <v>140</v>
      </c>
      <c r="C50" s="16" t="s">
        <v>175</v>
      </c>
      <c r="D50" s="13">
        <v>1</v>
      </c>
      <c r="E50" s="10" t="s">
        <v>200</v>
      </c>
      <c r="F50" s="10"/>
      <c r="G50" s="10">
        <v>40</v>
      </c>
      <c r="K50" s="18">
        <v>1</v>
      </c>
      <c r="L50" s="18">
        <v>0.6</v>
      </c>
    </row>
    <row r="51" spans="2:14">
      <c r="B51" s="13"/>
      <c r="C51" s="16"/>
      <c r="E51" s="10"/>
      <c r="F51" s="10"/>
    </row>
    <row r="52" spans="2:14">
      <c r="B52" s="13"/>
      <c r="C52" s="16"/>
      <c r="E52" s="10"/>
      <c r="F52" s="10"/>
    </row>
    <row r="53" spans="2:14">
      <c r="B53" s="13"/>
      <c r="C53" s="16"/>
      <c r="E53" s="10"/>
      <c r="F53" s="10"/>
    </row>
    <row r="54" spans="2:14">
      <c r="B54" s="13"/>
      <c r="C54" s="16"/>
      <c r="E54" s="10"/>
      <c r="F54" s="10"/>
    </row>
    <row r="55" spans="2:14">
      <c r="B55" s="13"/>
      <c r="C55" s="16"/>
      <c r="E55" s="10"/>
      <c r="F55" s="10"/>
    </row>
    <row r="56" spans="2:14">
      <c r="B56" s="13"/>
      <c r="C56" s="16"/>
      <c r="E56" s="10"/>
      <c r="F56" s="10"/>
    </row>
    <row r="57" spans="2:14">
      <c r="B57" s="13"/>
      <c r="C57" s="16"/>
      <c r="E57" s="10"/>
      <c r="F57" s="10"/>
    </row>
    <row r="58" spans="2:14">
      <c r="B58" s="13"/>
      <c r="C58" s="16"/>
      <c r="E58" s="10"/>
      <c r="F58" s="10"/>
    </row>
    <row r="59" spans="2:14">
      <c r="B59" s="13"/>
      <c r="C59" s="16"/>
      <c r="E59" s="10"/>
      <c r="F59" s="10"/>
    </row>
    <row r="60" spans="2:14">
      <c r="B60" s="13"/>
      <c r="C60" s="16"/>
      <c r="E60" s="10"/>
      <c r="F60" s="10"/>
    </row>
    <row r="61" spans="2:14">
      <c r="B61" s="13"/>
      <c r="C61" s="16"/>
      <c r="E61" s="10"/>
      <c r="F61" s="10"/>
    </row>
    <row r="62" spans="2:14">
      <c r="B62" s="13"/>
      <c r="C62" s="16"/>
      <c r="E62" s="10"/>
      <c r="F62" s="10"/>
    </row>
    <row r="63" spans="2:14">
      <c r="B63" s="13"/>
      <c r="C63" s="16"/>
      <c r="E63" s="10"/>
      <c r="F63" s="10"/>
    </row>
    <row r="64" spans="2:14">
      <c r="B64" s="13"/>
      <c r="C64" s="16"/>
      <c r="E64" s="10"/>
      <c r="F64" s="10"/>
    </row>
    <row r="65" spans="2:6">
      <c r="B65" s="13"/>
      <c r="C65" s="16"/>
      <c r="E65" s="10"/>
      <c r="F65" s="10"/>
    </row>
    <row r="66" spans="2:6">
      <c r="B66" s="13"/>
      <c r="C66" s="16"/>
      <c r="E66" s="10"/>
      <c r="F66" s="10"/>
    </row>
    <row r="67" spans="2:6">
      <c r="B67" s="13"/>
      <c r="C67" s="16"/>
      <c r="E67" s="10"/>
      <c r="F67" s="10"/>
    </row>
    <row r="68" spans="2:6">
      <c r="B68" s="13"/>
      <c r="C68" s="16"/>
      <c r="E68" s="10"/>
      <c r="F68" s="10"/>
    </row>
    <row r="69" spans="2:6">
      <c r="B69" s="13"/>
      <c r="C69" s="16"/>
      <c r="E69" s="10"/>
      <c r="F69" s="10"/>
    </row>
    <row r="70" spans="2:6">
      <c r="B70" s="13"/>
      <c r="C70" s="16"/>
      <c r="E70" s="10"/>
      <c r="F70" s="10"/>
    </row>
    <row r="71" spans="2:6">
      <c r="B71" s="13"/>
      <c r="C71" s="16"/>
      <c r="E71" s="10"/>
      <c r="F71" s="10"/>
    </row>
    <row r="72" spans="2:6">
      <c r="B72" s="13"/>
      <c r="C72" s="16"/>
      <c r="E72" s="10"/>
      <c r="F72" s="10"/>
    </row>
    <row r="73" spans="2:6">
      <c r="B73" s="13"/>
      <c r="C73" s="16"/>
      <c r="E73" s="10"/>
      <c r="F73" s="10"/>
    </row>
    <row r="74" spans="2:6">
      <c r="B74" s="13"/>
      <c r="C74" s="16"/>
      <c r="E74" s="10"/>
      <c r="F74" s="10"/>
    </row>
    <row r="75" spans="2:6">
      <c r="B75" s="13"/>
      <c r="C75" s="16"/>
      <c r="E75" s="10"/>
      <c r="F75" s="10"/>
    </row>
    <row r="76" spans="2:6">
      <c r="B76" s="13"/>
      <c r="C76" s="16"/>
      <c r="E76" s="10"/>
      <c r="F76" s="10"/>
    </row>
    <row r="77" spans="2:6">
      <c r="B77" s="13"/>
      <c r="C77" s="16"/>
      <c r="E77" s="10"/>
      <c r="F77" s="10"/>
    </row>
    <row r="78" spans="2:6">
      <c r="B78" s="13"/>
      <c r="C78" s="16"/>
      <c r="E78" s="10"/>
      <c r="F78" s="10"/>
    </row>
    <row r="79" spans="2:6">
      <c r="B79" s="13"/>
      <c r="C79" s="16"/>
      <c r="E79" s="10"/>
      <c r="F79" s="10"/>
    </row>
    <row r="80" spans="2:6">
      <c r="B80" s="13"/>
      <c r="C80" s="16"/>
      <c r="E80" s="10"/>
      <c r="F80" s="10"/>
    </row>
    <row r="81" spans="2:6">
      <c r="B81" s="13"/>
      <c r="C81" s="16"/>
      <c r="E81" s="10"/>
      <c r="F81" s="10"/>
    </row>
    <row r="82" spans="2:6">
      <c r="B82" s="13"/>
      <c r="C82" s="16"/>
      <c r="E82" s="10"/>
      <c r="F82" s="10"/>
    </row>
    <row r="83" spans="2:6">
      <c r="B83" s="13"/>
      <c r="C83" s="16"/>
      <c r="E83" s="10"/>
      <c r="F83" s="10"/>
    </row>
    <row r="84" spans="2:6">
      <c r="B84" s="13"/>
      <c r="C84" s="16"/>
      <c r="E84" s="10"/>
      <c r="F84" s="10"/>
    </row>
    <row r="85" spans="2:6">
      <c r="B85" s="13"/>
      <c r="C85" s="16"/>
      <c r="E85" s="10"/>
      <c r="F85" s="10"/>
    </row>
    <row r="86" spans="2:6">
      <c r="B86" s="13"/>
      <c r="C86" s="16"/>
      <c r="E86" s="10"/>
      <c r="F86" s="10"/>
    </row>
    <row r="87" spans="2:6">
      <c r="C87" s="16"/>
      <c r="E87" s="10"/>
      <c r="F87" s="10"/>
    </row>
    <row r="88" spans="2:6">
      <c r="C88" s="16"/>
      <c r="E88" s="10"/>
      <c r="F88" s="10"/>
    </row>
    <row r="234" spans="4:14" ht="31.5">
      <c r="D234" s="10"/>
      <c r="E234" s="15" t="s">
        <v>81</v>
      </c>
      <c r="I234" s="10"/>
      <c r="J234" s="10"/>
      <c r="K234" s="10"/>
      <c r="L234" s="10"/>
      <c r="M234" s="10"/>
      <c r="N234" s="10"/>
    </row>
    <row r="235" spans="4:14" ht="31.5">
      <c r="D235" s="10"/>
      <c r="E235" s="15" t="s">
        <v>82</v>
      </c>
      <c r="I235" s="10"/>
      <c r="J235" s="10"/>
      <c r="K235" s="10"/>
      <c r="L235" s="10"/>
      <c r="M235" s="10"/>
      <c r="N235" s="10"/>
    </row>
    <row r="236" spans="4:14" ht="31.5">
      <c r="D236" s="10"/>
      <c r="E236" s="15" t="s">
        <v>83</v>
      </c>
      <c r="I236" s="10"/>
      <c r="J236" s="10"/>
      <c r="K236" s="10"/>
      <c r="L236" s="10"/>
      <c r="M236" s="10"/>
      <c r="N236" s="10"/>
    </row>
    <row r="237" spans="4:14" ht="31.5">
      <c r="D237" s="10"/>
      <c r="E237" s="15" t="s">
        <v>84</v>
      </c>
      <c r="I237" s="10"/>
      <c r="J237" s="10"/>
      <c r="K237" s="10"/>
      <c r="L237" s="10"/>
      <c r="M237" s="10"/>
      <c r="N237" s="10"/>
    </row>
    <row r="238" spans="4:14" ht="31.5">
      <c r="D238" s="10"/>
      <c r="E238" s="15" t="s">
        <v>85</v>
      </c>
      <c r="I238" s="10"/>
      <c r="J238" s="10"/>
      <c r="K238" s="10"/>
      <c r="L238" s="10"/>
      <c r="M238" s="10"/>
      <c r="N238" s="10"/>
    </row>
    <row r="239" spans="4:14">
      <c r="D239" s="10"/>
      <c r="E239" s="15" t="s">
        <v>86</v>
      </c>
      <c r="I239" s="10"/>
      <c r="J239" s="10"/>
      <c r="K239" s="10"/>
      <c r="L239" s="10"/>
      <c r="M239" s="10"/>
      <c r="N239" s="10"/>
    </row>
    <row r="240" spans="4:14" ht="31.5">
      <c r="D240" s="10"/>
      <c r="E240" s="15" t="s">
        <v>87</v>
      </c>
      <c r="I240" s="10"/>
      <c r="J240" s="10"/>
      <c r="K240" s="10"/>
      <c r="L240" s="10"/>
      <c r="M240" s="10"/>
      <c r="N240" s="10"/>
    </row>
    <row r="241" spans="4:14" ht="31.5">
      <c r="D241" s="10"/>
      <c r="E241" s="15" t="s">
        <v>88</v>
      </c>
      <c r="I241" s="10"/>
      <c r="J241" s="10"/>
      <c r="K241" s="10"/>
      <c r="L241" s="10"/>
      <c r="M241" s="10"/>
      <c r="N241" s="10"/>
    </row>
    <row r="242" spans="4:14" ht="31.5">
      <c r="D242" s="10"/>
      <c r="E242" s="15" t="s">
        <v>89</v>
      </c>
      <c r="I242" s="10"/>
      <c r="J242" s="10"/>
      <c r="K242" s="10"/>
      <c r="L242" s="10"/>
      <c r="M242" s="10"/>
      <c r="N242" s="10"/>
    </row>
    <row r="243" spans="4:14" ht="31.5">
      <c r="D243" s="10"/>
      <c r="E243" s="15" t="s">
        <v>90</v>
      </c>
      <c r="I243" s="10"/>
      <c r="J243" s="10"/>
      <c r="K243" s="10"/>
      <c r="L243" s="10"/>
      <c r="M243" s="10"/>
      <c r="N243" s="10"/>
    </row>
    <row r="244" spans="4:14" ht="31.5">
      <c r="D244" s="10"/>
      <c r="E244" s="15" t="s">
        <v>91</v>
      </c>
      <c r="I244" s="10"/>
      <c r="J244" s="10"/>
      <c r="K244" s="10"/>
      <c r="L244" s="10"/>
      <c r="M244" s="10"/>
      <c r="N244" s="10"/>
    </row>
    <row r="245" spans="4:14" ht="31.5">
      <c r="D245" s="10"/>
      <c r="E245" s="15" t="s">
        <v>92</v>
      </c>
      <c r="I245" s="10"/>
      <c r="J245" s="10"/>
      <c r="K245" s="10"/>
      <c r="L245" s="10"/>
      <c r="M245" s="10"/>
      <c r="N245" s="10"/>
    </row>
    <row r="246" spans="4:14" ht="31.5">
      <c r="D246" s="10"/>
      <c r="E246" s="15" t="s">
        <v>93</v>
      </c>
      <c r="I246" s="10"/>
      <c r="J246" s="10"/>
      <c r="K246" s="10"/>
      <c r="L246" s="10"/>
      <c r="M246" s="10"/>
      <c r="N246" s="10"/>
    </row>
    <row r="247" spans="4:14" ht="31.5">
      <c r="D247" s="10"/>
      <c r="E247" s="15" t="s">
        <v>94</v>
      </c>
      <c r="I247" s="10"/>
      <c r="J247" s="10"/>
      <c r="K247" s="10"/>
      <c r="L247" s="10"/>
      <c r="M247" s="10"/>
      <c r="N247" s="10"/>
    </row>
    <row r="248" spans="4:14" ht="31.5">
      <c r="D248" s="10"/>
      <c r="E248" s="15" t="s">
        <v>95</v>
      </c>
      <c r="I248" s="10"/>
      <c r="J248" s="10"/>
      <c r="K248" s="10"/>
      <c r="L248" s="10"/>
      <c r="M248" s="10"/>
      <c r="N248" s="10"/>
    </row>
    <row r="249" spans="4:14" ht="31.5">
      <c r="D249" s="10"/>
      <c r="E249" s="15" t="s">
        <v>96</v>
      </c>
      <c r="I249" s="10"/>
      <c r="J249" s="10"/>
      <c r="K249" s="10"/>
      <c r="L249" s="10"/>
      <c r="M249" s="10"/>
      <c r="N249" s="10"/>
    </row>
    <row r="250" spans="4:14" ht="31.5">
      <c r="D250" s="10"/>
      <c r="E250" s="15" t="s">
        <v>97</v>
      </c>
      <c r="I250" s="10"/>
      <c r="J250" s="10"/>
      <c r="K250" s="10"/>
      <c r="L250" s="10"/>
      <c r="M250" s="10"/>
      <c r="N250" s="10"/>
    </row>
    <row r="251" spans="4:14" ht="31.5">
      <c r="D251" s="10"/>
      <c r="E251" s="15" t="s">
        <v>98</v>
      </c>
      <c r="I251" s="10"/>
      <c r="J251" s="10"/>
      <c r="K251" s="10"/>
      <c r="L251" s="10"/>
      <c r="M251" s="10"/>
      <c r="N251" s="10"/>
    </row>
    <row r="252" spans="4:14" ht="31.5">
      <c r="D252" s="10"/>
      <c r="E252" s="15" t="s">
        <v>99</v>
      </c>
      <c r="I252" s="10"/>
      <c r="J252" s="10"/>
      <c r="K252" s="10"/>
      <c r="L252" s="10"/>
      <c r="M252" s="10"/>
      <c r="N252" s="10"/>
    </row>
    <row r="253" spans="4:14" ht="31.5">
      <c r="D253" s="10"/>
      <c r="E253" s="15" t="s">
        <v>100</v>
      </c>
      <c r="I253" s="10"/>
      <c r="J253" s="10"/>
      <c r="K253" s="10"/>
      <c r="L253" s="10"/>
      <c r="M253" s="10"/>
      <c r="N253" s="10"/>
    </row>
    <row r="254" spans="4:14" ht="31.5">
      <c r="D254" s="10"/>
      <c r="E254" s="15" t="s">
        <v>101</v>
      </c>
      <c r="I254" s="10"/>
      <c r="J254" s="10"/>
      <c r="K254" s="10"/>
      <c r="L254" s="10"/>
      <c r="M254" s="10"/>
      <c r="N254" s="10"/>
    </row>
    <row r="255" spans="4:14" ht="31.5">
      <c r="D255" s="10"/>
      <c r="E255" s="15" t="s">
        <v>102</v>
      </c>
      <c r="I255" s="10"/>
      <c r="J255" s="10"/>
      <c r="K255" s="10"/>
      <c r="L255" s="10"/>
      <c r="M255" s="10"/>
      <c r="N255" s="10"/>
    </row>
    <row r="256" spans="4:14" ht="31.5">
      <c r="D256" s="10"/>
      <c r="E256" s="15" t="s">
        <v>103</v>
      </c>
      <c r="I256" s="10"/>
      <c r="J256" s="10"/>
      <c r="K256" s="10"/>
      <c r="L256" s="10"/>
      <c r="M256" s="10"/>
      <c r="N256" s="10"/>
    </row>
    <row r="257" spans="4:14" ht="31.5">
      <c r="D257" s="10"/>
      <c r="E257" s="15" t="s">
        <v>104</v>
      </c>
      <c r="I257" s="10"/>
      <c r="J257" s="10"/>
      <c r="K257" s="10"/>
      <c r="L257" s="10"/>
      <c r="M257" s="10"/>
      <c r="N257" s="10"/>
    </row>
    <row r="258" spans="4:14" ht="31.5">
      <c r="D258" s="10"/>
      <c r="E258" s="15" t="s">
        <v>105</v>
      </c>
      <c r="I258" s="10"/>
      <c r="J258" s="10"/>
      <c r="K258" s="10"/>
      <c r="L258" s="10"/>
      <c r="M258" s="10"/>
      <c r="N258" s="10"/>
    </row>
    <row r="259" spans="4:14" ht="31.5">
      <c r="D259" s="10"/>
      <c r="E259" s="15" t="s">
        <v>106</v>
      </c>
      <c r="I259" s="10"/>
      <c r="J259" s="10"/>
      <c r="K259" s="10"/>
      <c r="L259" s="10"/>
      <c r="M259" s="10"/>
      <c r="N259" s="10"/>
    </row>
    <row r="260" spans="4:14" ht="31.5">
      <c r="D260" s="10"/>
      <c r="E260" s="15" t="s">
        <v>107</v>
      </c>
      <c r="I260" s="10"/>
      <c r="J260" s="10"/>
      <c r="K260" s="10"/>
      <c r="L260" s="10"/>
      <c r="M260" s="10"/>
      <c r="N260" s="10"/>
    </row>
    <row r="261" spans="4:14" ht="31.5">
      <c r="D261" s="10"/>
      <c r="E261" s="15" t="s">
        <v>108</v>
      </c>
      <c r="I261" s="10"/>
      <c r="J261" s="10"/>
      <c r="K261" s="10"/>
      <c r="L261" s="10"/>
      <c r="M261" s="10"/>
      <c r="N261" s="10"/>
    </row>
    <row r="262" spans="4:14" ht="31.5">
      <c r="D262" s="10"/>
      <c r="E262" s="15" t="s">
        <v>109</v>
      </c>
      <c r="I262" s="10"/>
      <c r="J262" s="10"/>
      <c r="K262" s="10"/>
      <c r="L262" s="10"/>
      <c r="M262" s="10"/>
      <c r="N262" s="10"/>
    </row>
    <row r="263" spans="4:14" ht="31.5">
      <c r="D263" s="10"/>
      <c r="E263" s="15" t="s">
        <v>110</v>
      </c>
      <c r="I263" s="10"/>
      <c r="J263" s="10"/>
      <c r="K263" s="10"/>
      <c r="L263" s="10"/>
      <c r="M263" s="10"/>
      <c r="N263" s="10"/>
    </row>
    <row r="264" spans="4:14" ht="31.5">
      <c r="D264" s="10"/>
      <c r="E264" s="15" t="s">
        <v>111</v>
      </c>
      <c r="I264" s="10"/>
      <c r="J264" s="10"/>
      <c r="K264" s="10"/>
      <c r="L264" s="10"/>
      <c r="M264" s="10"/>
      <c r="N264" s="10"/>
    </row>
    <row r="265" spans="4:14" ht="31.5">
      <c r="D265" s="10"/>
      <c r="E265" s="15" t="s">
        <v>112</v>
      </c>
      <c r="I265" s="10"/>
      <c r="J265" s="10"/>
      <c r="K265" s="10"/>
      <c r="L265" s="10"/>
      <c r="M265" s="10"/>
      <c r="N265" s="10"/>
    </row>
    <row r="266" spans="4:14" ht="31.5">
      <c r="D266" s="10"/>
      <c r="E266" s="15" t="s">
        <v>113</v>
      </c>
      <c r="I266" s="10"/>
      <c r="J266" s="10"/>
      <c r="K266" s="10"/>
      <c r="L266" s="10"/>
      <c r="M266" s="10"/>
      <c r="N266" s="10"/>
    </row>
    <row r="267" spans="4:14" ht="31.5">
      <c r="D267" s="10"/>
      <c r="E267" s="15" t="s">
        <v>114</v>
      </c>
      <c r="I267" s="10"/>
      <c r="J267" s="10"/>
      <c r="K267" s="10"/>
      <c r="L267" s="10"/>
      <c r="M267" s="10"/>
      <c r="N267" s="10"/>
    </row>
    <row r="268" spans="4:14" ht="31.5">
      <c r="D268" s="10"/>
      <c r="E268" s="15" t="s">
        <v>115</v>
      </c>
      <c r="I268" s="10"/>
      <c r="J268" s="10"/>
      <c r="K268" s="10"/>
      <c r="L268" s="10"/>
      <c r="M268" s="10"/>
      <c r="N268" s="10"/>
    </row>
    <row r="269" spans="4:14">
      <c r="D269" s="10"/>
      <c r="E269" s="15" t="s">
        <v>116</v>
      </c>
      <c r="I269" s="10"/>
      <c r="J269" s="10"/>
      <c r="K269" s="10"/>
      <c r="L269" s="10"/>
      <c r="M269" s="10"/>
      <c r="N269" s="10"/>
    </row>
    <row r="270" spans="4:14" ht="31.5">
      <c r="D270" s="10"/>
      <c r="E270" s="15" t="s">
        <v>117</v>
      </c>
      <c r="I270" s="10"/>
      <c r="J270" s="10"/>
      <c r="K270" s="10"/>
      <c r="L270" s="10"/>
      <c r="M270" s="10"/>
      <c r="N270" s="10"/>
    </row>
    <row r="271" spans="4:14" ht="31.5">
      <c r="D271" s="10"/>
      <c r="E271" s="15" t="s">
        <v>118</v>
      </c>
      <c r="I271" s="10"/>
      <c r="J271" s="10"/>
      <c r="K271" s="10"/>
      <c r="L271" s="10"/>
      <c r="M271" s="10"/>
      <c r="N271" s="10"/>
    </row>
    <row r="272" spans="4:14">
      <c r="D272" s="10"/>
      <c r="E272" s="15" t="s">
        <v>119</v>
      </c>
      <c r="I272" s="10"/>
      <c r="J272" s="10"/>
      <c r="K272" s="10"/>
      <c r="L272" s="10"/>
      <c r="M272" s="10"/>
      <c r="N272" s="10"/>
    </row>
    <row r="273" spans="4:14" ht="31.5">
      <c r="D273" s="10"/>
      <c r="E273" s="15" t="s">
        <v>120</v>
      </c>
      <c r="I273" s="10"/>
      <c r="J273" s="10"/>
      <c r="K273" s="10"/>
      <c r="L273" s="10"/>
      <c r="M273" s="10"/>
      <c r="N273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02"/>
  <sheetViews>
    <sheetView tabSelected="1" workbookViewId="0">
      <selection activeCell="E12" sqref="E12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0.28515625" style="10" customWidth="1"/>
    <col min="6" max="6" width="13.28515625" style="18" customWidth="1"/>
    <col min="7" max="7" width="11.28515625" style="23" customWidth="1"/>
    <col min="8" max="8" width="13.28515625" style="18" customWidth="1"/>
    <col min="9" max="9" width="15.85546875" style="10" customWidth="1"/>
    <col min="10" max="10" width="15.140625" style="18" customWidth="1"/>
    <col min="11" max="11" width="19.140625" style="18" customWidth="1"/>
    <col min="12" max="12" width="13.28515625" style="18" customWidth="1"/>
    <col min="13" max="13" width="15.85546875" style="10" customWidth="1"/>
    <col min="14" max="14" width="15.140625" style="18" customWidth="1"/>
    <col min="15" max="15" width="19.140625" style="18" customWidth="1"/>
    <col min="16" max="16384" width="7.5703125" style="10"/>
  </cols>
  <sheetData>
    <row r="1" spans="1:15" s="9" customFormat="1">
      <c r="A1" s="9" t="s">
        <v>121</v>
      </c>
      <c r="B1" s="9" t="s">
        <v>122</v>
      </c>
      <c r="C1" s="9" t="s">
        <v>143</v>
      </c>
      <c r="D1" s="9" t="s">
        <v>202</v>
      </c>
      <c r="E1" s="9" t="s">
        <v>315</v>
      </c>
      <c r="F1" s="17" t="s">
        <v>145</v>
      </c>
      <c r="G1" s="22" t="s">
        <v>198</v>
      </c>
      <c r="H1" s="17" t="s">
        <v>165</v>
      </c>
      <c r="I1" s="9" t="s">
        <v>147</v>
      </c>
      <c r="J1" s="19" t="s">
        <v>148</v>
      </c>
      <c r="K1" s="17" t="s">
        <v>185</v>
      </c>
      <c r="L1" s="17" t="s">
        <v>167</v>
      </c>
      <c r="M1" s="9" t="s">
        <v>159</v>
      </c>
      <c r="N1" s="19" t="s">
        <v>160</v>
      </c>
      <c r="O1" s="17" t="s">
        <v>186</v>
      </c>
    </row>
    <row r="2" spans="1:15" s="9" customFormat="1">
      <c r="A2" s="9" t="s">
        <v>76</v>
      </c>
      <c r="B2" s="9" t="s">
        <v>78</v>
      </c>
      <c r="C2" s="9" t="s">
        <v>144</v>
      </c>
      <c r="D2" s="9" t="s">
        <v>203</v>
      </c>
      <c r="E2" s="9" t="s">
        <v>313</v>
      </c>
      <c r="F2" s="17" t="s">
        <v>146</v>
      </c>
      <c r="G2" s="22" t="s">
        <v>199</v>
      </c>
      <c r="H2" s="17" t="s">
        <v>164</v>
      </c>
      <c r="I2" s="9" t="s">
        <v>149</v>
      </c>
      <c r="J2" s="19" t="s">
        <v>150</v>
      </c>
      <c r="K2" s="17" t="s">
        <v>151</v>
      </c>
      <c r="L2" s="17" t="s">
        <v>166</v>
      </c>
      <c r="M2" s="9" t="s">
        <v>161</v>
      </c>
      <c r="N2" s="19" t="s">
        <v>162</v>
      </c>
      <c r="O2" s="17" t="s">
        <v>163</v>
      </c>
    </row>
    <row r="3" spans="1:15">
      <c r="A3" s="10">
        <f>C3*10</f>
        <v>10</v>
      </c>
      <c r="B3" s="13" t="s">
        <v>204</v>
      </c>
      <c r="C3" s="10">
        <v>1</v>
      </c>
      <c r="D3" s="13" t="str">
        <f>VLOOKUP(C3,Monster!A:B,2,FALSE)</f>
        <v>黑甲百足</v>
      </c>
      <c r="E3" s="13" t="s">
        <v>314</v>
      </c>
      <c r="F3" s="18">
        <v>1</v>
      </c>
      <c r="G3" s="23">
        <v>4</v>
      </c>
      <c r="H3" s="18" t="s">
        <v>168</v>
      </c>
      <c r="I3" s="10" t="s">
        <v>211</v>
      </c>
      <c r="J3" s="20" t="s">
        <v>214</v>
      </c>
      <c r="K3" s="18">
        <v>1</v>
      </c>
      <c r="L3" s="18" t="s">
        <v>168</v>
      </c>
      <c r="M3" s="10" t="s">
        <v>211</v>
      </c>
      <c r="N3" s="20" t="s">
        <v>215</v>
      </c>
      <c r="O3" s="18">
        <v>1</v>
      </c>
    </row>
    <row r="4" spans="1:15">
      <c r="A4" s="10">
        <f t="shared" ref="A4:A6" si="0">C4*10</f>
        <v>20</v>
      </c>
      <c r="B4" s="13" t="s">
        <v>205</v>
      </c>
      <c r="C4" s="10">
        <v>2</v>
      </c>
      <c r="D4" s="13" t="str">
        <f>VLOOKUP(C4,Monster!A:B,2,FALSE)</f>
        <v>巨型蜘蛛</v>
      </c>
      <c r="E4" s="13" t="s">
        <v>314</v>
      </c>
      <c r="F4" s="18">
        <v>1</v>
      </c>
      <c r="G4" s="23">
        <v>3</v>
      </c>
      <c r="H4" s="18" t="s">
        <v>184</v>
      </c>
      <c r="I4" s="10" t="s">
        <v>211</v>
      </c>
      <c r="J4" s="20" t="s">
        <v>214</v>
      </c>
      <c r="K4" s="18">
        <v>1</v>
      </c>
      <c r="L4" s="18" t="s">
        <v>168</v>
      </c>
      <c r="M4" s="10" t="s">
        <v>201</v>
      </c>
      <c r="N4" s="20" t="s">
        <v>217</v>
      </c>
      <c r="O4" s="18">
        <v>1</v>
      </c>
    </row>
    <row r="5" spans="1:15">
      <c r="A5" s="10">
        <f t="shared" si="0"/>
        <v>30</v>
      </c>
      <c r="B5" s="13" t="s">
        <v>205</v>
      </c>
      <c r="C5" s="10">
        <v>3</v>
      </c>
      <c r="D5" s="13" t="str">
        <f>VLOOKUP(C5,Monster!A:B,2,FALSE)</f>
        <v>黑毛怪</v>
      </c>
      <c r="E5" s="13" t="s">
        <v>314</v>
      </c>
      <c r="F5" s="18">
        <v>1</v>
      </c>
      <c r="G5" s="23">
        <v>5</v>
      </c>
      <c r="H5" s="18" t="s">
        <v>184</v>
      </c>
      <c r="I5" s="10" t="s">
        <v>211</v>
      </c>
      <c r="J5" s="20" t="s">
        <v>312</v>
      </c>
      <c r="K5" s="18">
        <v>1</v>
      </c>
      <c r="L5" s="18" t="s">
        <v>168</v>
      </c>
      <c r="M5" s="10" t="s">
        <v>201</v>
      </c>
      <c r="N5" s="20" t="s">
        <v>217</v>
      </c>
      <c r="O5" s="18">
        <v>1</v>
      </c>
    </row>
    <row r="6" spans="1:15">
      <c r="A6" s="10">
        <f t="shared" si="0"/>
        <v>40</v>
      </c>
      <c r="B6" s="13" t="s">
        <v>205</v>
      </c>
      <c r="C6" s="10">
        <v>4</v>
      </c>
      <c r="D6" s="13" t="str">
        <f>VLOOKUP(C6,Monster!A:B,2,FALSE)</f>
        <v>章魚人</v>
      </c>
      <c r="E6" s="13" t="s">
        <v>314</v>
      </c>
      <c r="F6" s="18">
        <v>1</v>
      </c>
      <c r="G6" s="23">
        <v>3</v>
      </c>
      <c r="H6" s="18" t="s">
        <v>184</v>
      </c>
      <c r="I6" s="10" t="s">
        <v>211</v>
      </c>
      <c r="J6" s="20" t="s">
        <v>215</v>
      </c>
      <c r="K6" s="18">
        <v>1</v>
      </c>
      <c r="L6" s="18" t="s">
        <v>168</v>
      </c>
      <c r="M6" s="10" t="s">
        <v>201</v>
      </c>
      <c r="N6" s="20" t="s">
        <v>217</v>
      </c>
      <c r="O6" s="18">
        <v>1</v>
      </c>
    </row>
    <row r="7" spans="1:15">
      <c r="A7" s="10">
        <f>C7*10</f>
        <v>10010</v>
      </c>
      <c r="B7" s="13" t="s">
        <v>206</v>
      </c>
      <c r="C7" s="10">
        <v>1001</v>
      </c>
      <c r="D7" s="13" t="str">
        <f>VLOOKUP(C7,Monster!A:B,2,FALSE)</f>
        <v>消瘦的野獸</v>
      </c>
      <c r="E7" s="13" t="s">
        <v>314</v>
      </c>
      <c r="F7" s="18">
        <v>1</v>
      </c>
      <c r="G7" s="23">
        <v>3</v>
      </c>
      <c r="H7" s="18" t="s">
        <v>168</v>
      </c>
      <c r="I7" s="10" t="s">
        <v>211</v>
      </c>
      <c r="J7" s="20" t="s">
        <v>213</v>
      </c>
      <c r="K7" s="18">
        <v>1</v>
      </c>
      <c r="N7" s="20"/>
    </row>
    <row r="8" spans="1:15">
      <c r="A8" s="10">
        <f>C8*10</f>
        <v>10020</v>
      </c>
      <c r="B8" s="13" t="s">
        <v>209</v>
      </c>
      <c r="C8" s="10">
        <v>1002</v>
      </c>
      <c r="D8" s="13" t="str">
        <f>VLOOKUP(C8,Monster!A:B,2,FALSE)</f>
        <v>大黑鳥</v>
      </c>
      <c r="E8" s="13" t="s">
        <v>314</v>
      </c>
      <c r="F8" s="18">
        <v>1</v>
      </c>
      <c r="G8" s="23">
        <v>2</v>
      </c>
      <c r="H8" s="18" t="s">
        <v>168</v>
      </c>
      <c r="I8" s="10" t="s">
        <v>212</v>
      </c>
      <c r="J8" s="20" t="s">
        <v>215</v>
      </c>
      <c r="K8" s="18">
        <v>1</v>
      </c>
    </row>
    <row r="9" spans="1:15">
      <c r="A9" s="10">
        <v>10021</v>
      </c>
      <c r="B9" s="13" t="s">
        <v>208</v>
      </c>
      <c r="C9" s="10">
        <v>1003</v>
      </c>
      <c r="D9" s="13" t="str">
        <f>VLOOKUP(C9,Monster!A:B,2,FALSE)</f>
        <v>廁所多手怪</v>
      </c>
      <c r="E9" s="13" t="s">
        <v>314</v>
      </c>
      <c r="F9" s="18">
        <v>1</v>
      </c>
      <c r="G9" s="23">
        <v>3</v>
      </c>
      <c r="H9" s="18" t="s">
        <v>168</v>
      </c>
      <c r="I9" s="10" t="s">
        <v>211</v>
      </c>
      <c r="J9" s="20" t="s">
        <v>214</v>
      </c>
      <c r="K9" s="18">
        <v>1</v>
      </c>
    </row>
    <row r="10" spans="1:15">
      <c r="A10" s="10">
        <v>10022</v>
      </c>
      <c r="B10" s="13" t="s">
        <v>207</v>
      </c>
      <c r="C10" s="10">
        <v>1004</v>
      </c>
      <c r="D10" s="13" t="str">
        <f>VLOOKUP(C10,Monster!A:B,2,FALSE)</f>
        <v>無眼老婦人</v>
      </c>
      <c r="E10" s="13" t="s">
        <v>314</v>
      </c>
      <c r="F10" s="18">
        <v>1</v>
      </c>
      <c r="G10" s="23">
        <v>4</v>
      </c>
      <c r="H10" s="18" t="s">
        <v>168</v>
      </c>
      <c r="I10" s="10" t="s">
        <v>211</v>
      </c>
      <c r="J10" s="20" t="s">
        <v>216</v>
      </c>
      <c r="K10" s="18">
        <v>1</v>
      </c>
    </row>
    <row r="11" spans="1:15">
      <c r="A11" s="10">
        <f>C11*10</f>
        <v>10050</v>
      </c>
      <c r="B11" s="13" t="s">
        <v>210</v>
      </c>
      <c r="C11" s="10">
        <v>1005</v>
      </c>
      <c r="D11" s="13" t="str">
        <f>VLOOKUP(C11,Monster!A:B,2,FALSE)</f>
        <v>錫帽瘋子</v>
      </c>
      <c r="E11" s="13" t="s">
        <v>314</v>
      </c>
      <c r="F11" s="18">
        <v>1</v>
      </c>
      <c r="G11" s="23">
        <v>3</v>
      </c>
      <c r="H11" s="18" t="s">
        <v>168</v>
      </c>
      <c r="I11" s="10" t="s">
        <v>211</v>
      </c>
      <c r="J11" s="20" t="s">
        <v>215</v>
      </c>
      <c r="K11" s="18">
        <v>1</v>
      </c>
    </row>
    <row r="12" spans="1:15">
      <c r="A12" s="10">
        <f>C12*10</f>
        <v>10060</v>
      </c>
      <c r="B12" s="13" t="s">
        <v>210</v>
      </c>
      <c r="C12" s="10">
        <v>1006</v>
      </c>
      <c r="D12" s="13" t="str">
        <f>VLOOKUP(C12,Monster!A:B,2,FALSE)</f>
        <v>錫帽怪</v>
      </c>
      <c r="E12" s="13" t="s">
        <v>314</v>
      </c>
      <c r="F12" s="18">
        <v>1</v>
      </c>
      <c r="G12" s="23">
        <v>3</v>
      </c>
      <c r="H12" s="18" t="s">
        <v>168</v>
      </c>
      <c r="I12" s="10" t="s">
        <v>212</v>
      </c>
      <c r="J12" s="20" t="s">
        <v>215</v>
      </c>
      <c r="K12" s="18">
        <v>1</v>
      </c>
    </row>
    <row r="13" spans="1:15">
      <c r="A13" s="10">
        <f>C13*10</f>
        <v>50010</v>
      </c>
      <c r="B13" s="13" t="s">
        <v>210</v>
      </c>
      <c r="C13" s="10">
        <v>5001</v>
      </c>
      <c r="D13" s="13" t="str">
        <f>VLOOKUP(C13,Monster!A:B,2,FALSE)</f>
        <v>骷髏先生</v>
      </c>
      <c r="E13" s="13" t="s">
        <v>314</v>
      </c>
      <c r="F13" s="18">
        <v>1</v>
      </c>
      <c r="G13" s="23">
        <v>5</v>
      </c>
      <c r="H13" s="18" t="s">
        <v>168</v>
      </c>
      <c r="I13" s="10" t="s">
        <v>211</v>
      </c>
      <c r="J13" s="20" t="s">
        <v>215</v>
      </c>
      <c r="K13" s="18">
        <v>1</v>
      </c>
    </row>
    <row r="14" spans="1:15">
      <c r="A14" s="10">
        <f t="shared" ref="A14:A22" si="1">C14*10</f>
        <v>50020</v>
      </c>
      <c r="B14" s="13" t="s">
        <v>210</v>
      </c>
      <c r="C14" s="10">
        <v>5002</v>
      </c>
      <c r="D14" s="13" t="str">
        <f>VLOOKUP(C14,Monster!A:B,2,FALSE)</f>
        <v>倒懸者</v>
      </c>
      <c r="E14" s="13" t="s">
        <v>314</v>
      </c>
      <c r="F14" s="18">
        <v>1</v>
      </c>
      <c r="G14" s="23">
        <v>3</v>
      </c>
      <c r="H14" s="18" t="s">
        <v>168</v>
      </c>
      <c r="I14" s="10" t="s">
        <v>212</v>
      </c>
      <c r="J14" s="20" t="s">
        <v>215</v>
      </c>
      <c r="K14" s="18">
        <v>1</v>
      </c>
    </row>
    <row r="15" spans="1:15">
      <c r="A15" s="10">
        <f t="shared" si="1"/>
        <v>50030</v>
      </c>
      <c r="B15" s="13" t="s">
        <v>210</v>
      </c>
      <c r="C15" s="10">
        <v>5003</v>
      </c>
      <c r="D15" s="13" t="str">
        <f>VLOOKUP(C15,Monster!A:B,2,FALSE)</f>
        <v>玩偶人</v>
      </c>
      <c r="E15" s="13" t="s">
        <v>314</v>
      </c>
      <c r="F15" s="18">
        <v>1</v>
      </c>
      <c r="G15" s="23">
        <v>2</v>
      </c>
      <c r="H15" s="18" t="s">
        <v>168</v>
      </c>
      <c r="I15" s="10" t="s">
        <v>211</v>
      </c>
      <c r="J15" s="20" t="s">
        <v>311</v>
      </c>
      <c r="K15" s="18">
        <v>1</v>
      </c>
    </row>
    <row r="16" spans="1:15">
      <c r="A16" s="10">
        <f t="shared" si="1"/>
        <v>50040</v>
      </c>
      <c r="B16" s="13" t="s">
        <v>210</v>
      </c>
      <c r="C16" s="10">
        <v>5004</v>
      </c>
      <c r="D16" s="13" t="str">
        <f>VLOOKUP(C16,Monster!A:B,2,FALSE)</f>
        <v>貴婦</v>
      </c>
      <c r="E16" s="13" t="s">
        <v>314</v>
      </c>
      <c r="F16" s="18">
        <v>1</v>
      </c>
      <c r="G16" s="23">
        <v>3</v>
      </c>
      <c r="H16" s="18" t="s">
        <v>168</v>
      </c>
      <c r="I16" s="10" t="s">
        <v>211</v>
      </c>
      <c r="J16" s="20" t="s">
        <v>310</v>
      </c>
      <c r="K16" s="18">
        <v>1</v>
      </c>
    </row>
    <row r="17" spans="1:11">
      <c r="A17" s="10">
        <f t="shared" si="1"/>
        <v>50050</v>
      </c>
      <c r="B17" s="13" t="s">
        <v>210</v>
      </c>
      <c r="C17" s="10">
        <v>5005</v>
      </c>
      <c r="D17" s="13" t="str">
        <f>VLOOKUP(C17,Monster!A:B,2,FALSE)</f>
        <v>螃蟹蜘蛛怪</v>
      </c>
      <c r="E17" s="13" t="s">
        <v>314</v>
      </c>
      <c r="F17" s="18">
        <v>1</v>
      </c>
      <c r="G17" s="23">
        <v>3</v>
      </c>
      <c r="H17" s="18" t="s">
        <v>168</v>
      </c>
      <c r="I17" s="10" t="s">
        <v>211</v>
      </c>
      <c r="J17" s="20" t="s">
        <v>215</v>
      </c>
      <c r="K17" s="18">
        <v>1</v>
      </c>
    </row>
    <row r="18" spans="1:11">
      <c r="A18" s="10">
        <f t="shared" si="1"/>
        <v>50060</v>
      </c>
      <c r="B18" s="13" t="s">
        <v>210</v>
      </c>
      <c r="C18" s="10">
        <v>5006</v>
      </c>
      <c r="D18" s="13" t="str">
        <f>VLOOKUP(C18,Monster!A:B,2,FALSE)</f>
        <v>畸形人</v>
      </c>
      <c r="E18" s="13" t="s">
        <v>314</v>
      </c>
      <c r="F18" s="18">
        <v>1</v>
      </c>
      <c r="G18" s="23">
        <v>2</v>
      </c>
      <c r="H18" s="18" t="s">
        <v>168</v>
      </c>
      <c r="I18" s="10" t="s">
        <v>211</v>
      </c>
      <c r="J18" s="20" t="s">
        <v>215</v>
      </c>
      <c r="K18" s="18">
        <v>1</v>
      </c>
    </row>
    <row r="19" spans="1:11">
      <c r="A19" s="10">
        <f t="shared" si="1"/>
        <v>50070</v>
      </c>
      <c r="B19" s="13" t="s">
        <v>210</v>
      </c>
      <c r="C19" s="10">
        <v>5007</v>
      </c>
      <c r="D19" s="13" t="str">
        <f>VLOOKUP(C19,Monster!A:B,2,FALSE)</f>
        <v>海星人</v>
      </c>
      <c r="E19" s="13" t="s">
        <v>314</v>
      </c>
      <c r="F19" s="18">
        <v>1</v>
      </c>
      <c r="G19" s="23">
        <v>3</v>
      </c>
      <c r="H19" s="18" t="s">
        <v>168</v>
      </c>
      <c r="I19" s="10" t="s">
        <v>211</v>
      </c>
      <c r="J19" s="20" t="s">
        <v>215</v>
      </c>
      <c r="K19" s="18">
        <v>1</v>
      </c>
    </row>
    <row r="20" spans="1:11">
      <c r="A20" s="10">
        <f t="shared" si="1"/>
        <v>50080</v>
      </c>
      <c r="B20" s="13" t="s">
        <v>210</v>
      </c>
      <c r="C20" s="10">
        <v>5008</v>
      </c>
      <c r="D20" s="13" t="str">
        <f>VLOOKUP(C20,Monster!A:B,2,FALSE)</f>
        <v>仙人掌人</v>
      </c>
      <c r="E20" s="13" t="s">
        <v>314</v>
      </c>
      <c r="F20" s="18">
        <v>1</v>
      </c>
      <c r="G20" s="23">
        <v>4</v>
      </c>
      <c r="H20" s="18" t="s">
        <v>168</v>
      </c>
      <c r="I20" s="10" t="s">
        <v>211</v>
      </c>
      <c r="J20" s="20" t="s">
        <v>215</v>
      </c>
      <c r="K20" s="18">
        <v>1</v>
      </c>
    </row>
    <row r="21" spans="1:11">
      <c r="A21" s="10">
        <f t="shared" si="1"/>
        <v>50090</v>
      </c>
      <c r="B21" s="13" t="s">
        <v>210</v>
      </c>
      <c r="C21" s="10">
        <v>5009</v>
      </c>
      <c r="D21" s="13" t="str">
        <f>VLOOKUP(C21,Monster!A:B,2,FALSE)</f>
        <v>綿羊怪</v>
      </c>
      <c r="E21" s="13" t="s">
        <v>314</v>
      </c>
      <c r="F21" s="18">
        <v>1</v>
      </c>
      <c r="G21" s="23">
        <v>2</v>
      </c>
      <c r="H21" s="18" t="s">
        <v>168</v>
      </c>
      <c r="I21" s="10" t="s">
        <v>211</v>
      </c>
      <c r="J21" s="20" t="s">
        <v>310</v>
      </c>
      <c r="K21" s="18">
        <v>1</v>
      </c>
    </row>
    <row r="22" spans="1:11">
      <c r="A22" s="10">
        <f t="shared" si="1"/>
        <v>50100</v>
      </c>
      <c r="B22" s="13" t="s">
        <v>210</v>
      </c>
      <c r="C22" s="10">
        <v>5010</v>
      </c>
      <c r="D22" s="13" t="str">
        <f>VLOOKUP(C22,Monster!A:B,2,FALSE)</f>
        <v>水蛭怪</v>
      </c>
      <c r="E22" s="13" t="s">
        <v>314</v>
      </c>
      <c r="F22" s="18">
        <v>1</v>
      </c>
      <c r="G22" s="23">
        <v>4</v>
      </c>
      <c r="H22" s="18" t="s">
        <v>168</v>
      </c>
      <c r="I22" s="10" t="s">
        <v>211</v>
      </c>
      <c r="J22" s="20" t="s">
        <v>215</v>
      </c>
      <c r="K22" s="18">
        <v>1</v>
      </c>
    </row>
    <row r="23" spans="1:11">
      <c r="A23" s="11" t="s">
        <v>0</v>
      </c>
    </row>
    <row r="163" spans="6:15">
      <c r="F163" s="10"/>
      <c r="H163" s="10"/>
      <c r="J163" s="10"/>
      <c r="K163" s="10"/>
      <c r="L163" s="10"/>
      <c r="N163" s="10"/>
      <c r="O163" s="10"/>
    </row>
    <row r="164" spans="6:15">
      <c r="F164" s="10"/>
      <c r="H164" s="10"/>
      <c r="J164" s="10"/>
      <c r="K164" s="10"/>
      <c r="L164" s="10"/>
      <c r="N164" s="10"/>
      <c r="O164" s="10"/>
    </row>
    <row r="165" spans="6:15">
      <c r="F165" s="10"/>
      <c r="H165" s="10"/>
      <c r="J165" s="10"/>
      <c r="K165" s="10"/>
      <c r="L165" s="10"/>
      <c r="N165" s="10"/>
      <c r="O165" s="10"/>
    </row>
    <row r="166" spans="6:15">
      <c r="F166" s="10"/>
      <c r="H166" s="10"/>
      <c r="J166" s="10"/>
      <c r="K166" s="10"/>
      <c r="L166" s="10"/>
      <c r="N166" s="10"/>
      <c r="O166" s="10"/>
    </row>
    <row r="167" spans="6:15">
      <c r="F167" s="10"/>
      <c r="H167" s="10"/>
      <c r="J167" s="10"/>
      <c r="K167" s="10"/>
      <c r="L167" s="10"/>
      <c r="N167" s="10"/>
      <c r="O167" s="10"/>
    </row>
    <row r="168" spans="6:15">
      <c r="F168" s="10"/>
      <c r="H168" s="10"/>
      <c r="J168" s="10"/>
      <c r="K168" s="10"/>
      <c r="L168" s="10"/>
      <c r="N168" s="10"/>
      <c r="O168" s="10"/>
    </row>
    <row r="169" spans="6:15">
      <c r="F169" s="10"/>
      <c r="H169" s="10"/>
      <c r="J169" s="10"/>
      <c r="K169" s="10"/>
      <c r="L169" s="10"/>
      <c r="N169" s="10"/>
      <c r="O169" s="10"/>
    </row>
    <row r="170" spans="6:15">
      <c r="F170" s="10"/>
      <c r="H170" s="10"/>
      <c r="J170" s="10"/>
      <c r="K170" s="10"/>
      <c r="L170" s="10"/>
      <c r="N170" s="10"/>
      <c r="O170" s="10"/>
    </row>
    <row r="171" spans="6:15">
      <c r="F171" s="10"/>
      <c r="H171" s="10"/>
      <c r="J171" s="10"/>
      <c r="K171" s="10"/>
      <c r="L171" s="10"/>
      <c r="N171" s="10"/>
      <c r="O171" s="10"/>
    </row>
    <row r="172" spans="6:15">
      <c r="F172" s="10"/>
      <c r="H172" s="10"/>
      <c r="J172" s="10"/>
      <c r="K172" s="10"/>
      <c r="L172" s="10"/>
      <c r="N172" s="10"/>
      <c r="O172" s="10"/>
    </row>
    <row r="173" spans="6:15">
      <c r="F173" s="10"/>
      <c r="H173" s="10"/>
      <c r="J173" s="10"/>
      <c r="K173" s="10"/>
      <c r="L173" s="10"/>
      <c r="N173" s="10"/>
      <c r="O173" s="10"/>
    </row>
    <row r="174" spans="6:15">
      <c r="F174" s="10"/>
      <c r="H174" s="10"/>
      <c r="J174" s="10"/>
      <c r="K174" s="10"/>
      <c r="L174" s="10"/>
      <c r="N174" s="10"/>
      <c r="O174" s="10"/>
    </row>
    <row r="175" spans="6:15">
      <c r="F175" s="10"/>
      <c r="H175" s="10"/>
      <c r="J175" s="10"/>
      <c r="K175" s="10"/>
      <c r="L175" s="10"/>
      <c r="N175" s="10"/>
      <c r="O175" s="10"/>
    </row>
    <row r="176" spans="6:15">
      <c r="F176" s="10"/>
      <c r="H176" s="10"/>
      <c r="J176" s="10"/>
      <c r="K176" s="10"/>
      <c r="L176" s="10"/>
      <c r="N176" s="10"/>
      <c r="O176" s="10"/>
    </row>
    <row r="177" spans="6:15">
      <c r="F177" s="10"/>
      <c r="H177" s="10"/>
      <c r="J177" s="10"/>
      <c r="K177" s="10"/>
      <c r="L177" s="10"/>
      <c r="N177" s="10"/>
      <c r="O177" s="10"/>
    </row>
    <row r="178" spans="6:15">
      <c r="F178" s="10"/>
      <c r="H178" s="10"/>
      <c r="J178" s="10"/>
      <c r="K178" s="10"/>
      <c r="L178" s="10"/>
      <c r="N178" s="10"/>
      <c r="O178" s="10"/>
    </row>
    <row r="179" spans="6:15">
      <c r="F179" s="10"/>
      <c r="H179" s="10"/>
      <c r="J179" s="10"/>
      <c r="K179" s="10"/>
      <c r="L179" s="10"/>
      <c r="N179" s="10"/>
      <c r="O179" s="10"/>
    </row>
    <row r="180" spans="6:15">
      <c r="F180" s="10"/>
      <c r="H180" s="10"/>
      <c r="J180" s="10"/>
      <c r="K180" s="10"/>
      <c r="L180" s="10"/>
      <c r="N180" s="10"/>
      <c r="O180" s="10"/>
    </row>
    <row r="181" spans="6:15">
      <c r="F181" s="10"/>
      <c r="H181" s="10"/>
      <c r="J181" s="10"/>
      <c r="K181" s="10"/>
      <c r="L181" s="10"/>
      <c r="N181" s="10"/>
      <c r="O181" s="10"/>
    </row>
    <row r="182" spans="6:15">
      <c r="F182" s="10"/>
      <c r="H182" s="10"/>
      <c r="J182" s="10"/>
      <c r="K182" s="10"/>
      <c r="L182" s="10"/>
      <c r="N182" s="10"/>
      <c r="O182" s="10"/>
    </row>
    <row r="183" spans="6:15">
      <c r="F183" s="10"/>
      <c r="H183" s="10"/>
      <c r="J183" s="10"/>
      <c r="K183" s="10"/>
      <c r="L183" s="10"/>
      <c r="N183" s="10"/>
      <c r="O183" s="10"/>
    </row>
    <row r="184" spans="6:15">
      <c r="F184" s="10"/>
      <c r="H184" s="10"/>
      <c r="J184" s="10"/>
      <c r="K184" s="10"/>
      <c r="L184" s="10"/>
      <c r="N184" s="10"/>
      <c r="O184" s="10"/>
    </row>
    <row r="185" spans="6:15">
      <c r="F185" s="10"/>
      <c r="H185" s="10"/>
      <c r="J185" s="10"/>
      <c r="K185" s="10"/>
      <c r="L185" s="10"/>
      <c r="N185" s="10"/>
      <c r="O185" s="10"/>
    </row>
    <row r="186" spans="6:15">
      <c r="F186" s="10"/>
      <c r="H186" s="10"/>
      <c r="J186" s="10"/>
      <c r="K186" s="10"/>
      <c r="L186" s="10"/>
      <c r="N186" s="10"/>
      <c r="O186" s="10"/>
    </row>
    <row r="187" spans="6:15">
      <c r="F187" s="10"/>
      <c r="H187" s="10"/>
      <c r="J187" s="10"/>
      <c r="K187" s="10"/>
      <c r="L187" s="10"/>
      <c r="N187" s="10"/>
      <c r="O187" s="10"/>
    </row>
    <row r="188" spans="6:15">
      <c r="F188" s="10"/>
      <c r="H188" s="10"/>
      <c r="J188" s="10"/>
      <c r="K188" s="10"/>
      <c r="L188" s="10"/>
      <c r="N188" s="10"/>
      <c r="O188" s="10"/>
    </row>
    <row r="189" spans="6:15">
      <c r="F189" s="10"/>
      <c r="H189" s="10"/>
      <c r="J189" s="10"/>
      <c r="K189" s="10"/>
      <c r="L189" s="10"/>
      <c r="N189" s="10"/>
      <c r="O189" s="10"/>
    </row>
    <row r="190" spans="6:15">
      <c r="F190" s="10"/>
      <c r="H190" s="10"/>
      <c r="J190" s="10"/>
      <c r="K190" s="10"/>
      <c r="L190" s="10"/>
      <c r="N190" s="10"/>
      <c r="O190" s="10"/>
    </row>
    <row r="191" spans="6:15">
      <c r="F191" s="10"/>
      <c r="H191" s="10"/>
      <c r="J191" s="10"/>
      <c r="K191" s="10"/>
      <c r="L191" s="10"/>
      <c r="N191" s="10"/>
      <c r="O191" s="10"/>
    </row>
    <row r="192" spans="6:15">
      <c r="F192" s="10"/>
      <c r="H192" s="10"/>
      <c r="J192" s="10"/>
      <c r="K192" s="10"/>
      <c r="L192" s="10"/>
      <c r="N192" s="10"/>
      <c r="O192" s="10"/>
    </row>
    <row r="193" spans="6:15">
      <c r="F193" s="10"/>
      <c r="H193" s="10"/>
      <c r="J193" s="10"/>
      <c r="K193" s="10"/>
      <c r="L193" s="10"/>
      <c r="N193" s="10"/>
      <c r="O193" s="10"/>
    </row>
    <row r="194" spans="6:15">
      <c r="F194" s="10"/>
      <c r="H194" s="10"/>
      <c r="J194" s="10"/>
      <c r="K194" s="10"/>
      <c r="L194" s="10"/>
      <c r="N194" s="10"/>
      <c r="O194" s="10"/>
    </row>
    <row r="195" spans="6:15">
      <c r="F195" s="10"/>
      <c r="H195" s="10"/>
      <c r="J195" s="10"/>
      <c r="K195" s="10"/>
      <c r="L195" s="10"/>
      <c r="N195" s="10"/>
      <c r="O195" s="10"/>
    </row>
    <row r="196" spans="6:15">
      <c r="F196" s="10"/>
      <c r="H196" s="10"/>
      <c r="J196" s="10"/>
      <c r="K196" s="10"/>
      <c r="L196" s="10"/>
      <c r="N196" s="10"/>
      <c r="O196" s="10"/>
    </row>
    <row r="197" spans="6:15">
      <c r="F197" s="10"/>
      <c r="H197" s="10"/>
      <c r="J197" s="10"/>
      <c r="K197" s="10"/>
      <c r="L197" s="10"/>
      <c r="N197" s="10"/>
      <c r="O197" s="10"/>
    </row>
    <row r="198" spans="6:15">
      <c r="F198" s="10"/>
      <c r="H198" s="10"/>
      <c r="J198" s="10"/>
      <c r="K198" s="10"/>
      <c r="L198" s="10"/>
      <c r="N198" s="10"/>
      <c r="O198" s="10"/>
    </row>
    <row r="199" spans="6:15">
      <c r="F199" s="10"/>
      <c r="H199" s="10"/>
      <c r="J199" s="10"/>
      <c r="K199" s="10"/>
      <c r="L199" s="10"/>
      <c r="N199" s="10"/>
      <c r="O199" s="10"/>
    </row>
    <row r="200" spans="6:15">
      <c r="F200" s="10"/>
      <c r="H200" s="10"/>
      <c r="J200" s="10"/>
      <c r="K200" s="10"/>
      <c r="L200" s="10"/>
      <c r="N200" s="10"/>
      <c r="O200" s="10"/>
    </row>
    <row r="201" spans="6:15">
      <c r="F201" s="10"/>
      <c r="H201" s="10"/>
      <c r="J201" s="10"/>
      <c r="K201" s="10"/>
      <c r="L201" s="10"/>
      <c r="N201" s="10"/>
      <c r="O201" s="10"/>
    </row>
    <row r="202" spans="6:15">
      <c r="F202" s="10"/>
      <c r="H202" s="10"/>
      <c r="J202" s="10"/>
      <c r="K202" s="10"/>
      <c r="L202" s="10"/>
      <c r="N202" s="10"/>
      <c r="O202" s="10"/>
    </row>
  </sheetData>
  <phoneticPr fontId="1" type="noConversion"/>
  <dataValidations disablePrompts="1" count="2">
    <dataValidation type="list" allowBlank="1" showInputMessage="1" showErrorMessage="1" sqref="I1:I1048576 M1:M1048576">
      <formula1>EffectType</formula1>
    </dataValidation>
    <dataValidation type="list" allowBlank="1" showInputMessage="1" showErrorMessage="1" sqref="L1:L1048576 H1:H1048576">
      <formula1>Target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topLeftCell="A28" workbookViewId="0">
      <selection activeCell="E10" sqref="E10"/>
    </sheetView>
  </sheetViews>
  <sheetFormatPr defaultRowHeight="15.7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152</v>
      </c>
      <c r="B9" s="2" t="s">
        <v>153</v>
      </c>
      <c r="C9" s="2" t="s">
        <v>154</v>
      </c>
      <c r="D9" s="2" t="s">
        <v>153</v>
      </c>
      <c r="E9" s="2" t="s">
        <v>195</v>
      </c>
      <c r="F9" s="2" t="s">
        <v>126</v>
      </c>
    </row>
    <row r="10" spans="1:6" ht="31.5">
      <c r="A10" t="s">
        <v>218</v>
      </c>
      <c r="B10" s="6" t="s">
        <v>219</v>
      </c>
      <c r="C10" t="s">
        <v>155</v>
      </c>
      <c r="D10" t="s">
        <v>156</v>
      </c>
      <c r="E10" t="s">
        <v>192</v>
      </c>
      <c r="F10" t="s">
        <v>193</v>
      </c>
    </row>
    <row r="11" spans="1:6" ht="31.5">
      <c r="A11" t="s">
        <v>220</v>
      </c>
      <c r="B11" s="6" t="s">
        <v>221</v>
      </c>
      <c r="C11" t="s">
        <v>157</v>
      </c>
      <c r="D11" t="s">
        <v>158</v>
      </c>
      <c r="E11" t="s">
        <v>191</v>
      </c>
      <c r="F11" t="s">
        <v>194</v>
      </c>
    </row>
    <row r="12" spans="1:6" ht="31.5">
      <c r="A12" t="s">
        <v>222</v>
      </c>
      <c r="B12" s="6" t="s">
        <v>223</v>
      </c>
    </row>
    <row r="13" spans="1:6" ht="31.5">
      <c r="A13" t="s">
        <v>224</v>
      </c>
      <c r="B13" s="6" t="s">
        <v>225</v>
      </c>
    </row>
    <row r="14" spans="1:6" ht="31.5">
      <c r="A14" t="s">
        <v>226</v>
      </c>
      <c r="B14" s="6" t="s">
        <v>227</v>
      </c>
    </row>
    <row r="15" spans="1:6" ht="47.25">
      <c r="A15" t="s">
        <v>228</v>
      </c>
      <c r="B15" s="6" t="s">
        <v>229</v>
      </c>
    </row>
    <row r="16" spans="1:6" ht="47.25">
      <c r="A16" t="s">
        <v>230</v>
      </c>
      <c r="B16" s="6" t="s">
        <v>231</v>
      </c>
    </row>
    <row r="17" spans="1:2" ht="31.5">
      <c r="A17" t="s">
        <v>232</v>
      </c>
      <c r="B17" s="6" t="s">
        <v>233</v>
      </c>
    </row>
    <row r="18" spans="1:2" ht="31.5">
      <c r="A18" t="s">
        <v>234</v>
      </c>
      <c r="B18" s="6" t="s">
        <v>235</v>
      </c>
    </row>
    <row r="19" spans="1:2" ht="31.5">
      <c r="A19" t="s">
        <v>236</v>
      </c>
      <c r="B19" s="6" t="s">
        <v>237</v>
      </c>
    </row>
    <row r="20" spans="1:2" ht="31.5">
      <c r="A20" t="s">
        <v>238</v>
      </c>
      <c r="B20" s="6" t="s">
        <v>239</v>
      </c>
    </row>
    <row r="21" spans="1:2" ht="31.5">
      <c r="A21" t="s">
        <v>240</v>
      </c>
      <c r="B21" s="6" t="s">
        <v>241</v>
      </c>
    </row>
    <row r="22" spans="1:2" ht="31.5">
      <c r="A22" t="s">
        <v>242</v>
      </c>
      <c r="B22" s="6" t="s">
        <v>243</v>
      </c>
    </row>
    <row r="23" spans="1:2" ht="31.5">
      <c r="A23" t="s">
        <v>244</v>
      </c>
      <c r="B23" s="6" t="s">
        <v>245</v>
      </c>
    </row>
    <row r="24" spans="1:2" ht="31.5">
      <c r="A24" t="s">
        <v>246</v>
      </c>
      <c r="B24" s="6" t="s">
        <v>247</v>
      </c>
    </row>
    <row r="25" spans="1:2" ht="31.5">
      <c r="A25" t="s">
        <v>248</v>
      </c>
      <c r="B25" s="6" t="s">
        <v>249</v>
      </c>
    </row>
    <row r="26" spans="1:2" ht="31.5">
      <c r="A26" t="s">
        <v>250</v>
      </c>
      <c r="B26" s="6" t="s">
        <v>251</v>
      </c>
    </row>
    <row r="27" spans="1:2" ht="31.5">
      <c r="A27" t="s">
        <v>252</v>
      </c>
      <c r="B27" s="6" t="s">
        <v>253</v>
      </c>
    </row>
    <row r="28" spans="1:2" ht="31.5">
      <c r="A28" t="s">
        <v>254</v>
      </c>
      <c r="B28" s="6" t="s">
        <v>255</v>
      </c>
    </row>
    <row r="29" spans="1:2">
      <c r="A29" t="s">
        <v>256</v>
      </c>
      <c r="B29" t="s">
        <v>257</v>
      </c>
    </row>
    <row r="30" spans="1:2" ht="31.5">
      <c r="A30" t="s">
        <v>258</v>
      </c>
      <c r="B30" s="6" t="s">
        <v>259</v>
      </c>
    </row>
    <row r="31" spans="1:2" ht="31.5">
      <c r="A31" t="s">
        <v>260</v>
      </c>
      <c r="B31" s="6" t="s">
        <v>261</v>
      </c>
    </row>
    <row r="32" spans="1:2" ht="31.5">
      <c r="A32" t="s">
        <v>262</v>
      </c>
      <c r="B32" s="6" t="s">
        <v>263</v>
      </c>
    </row>
    <row r="33" spans="1:2" ht="31.5">
      <c r="A33" t="s">
        <v>264</v>
      </c>
      <c r="B33" s="6" t="s">
        <v>265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2023-05-27T16:31:34Z</dcterms:modified>
</cp:coreProperties>
</file>