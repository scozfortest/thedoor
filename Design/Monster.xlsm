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Monster" sheetId="1" r:id="rId1"/>
    <sheet name="MonsterAction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MonsterType">OFFSET(Setting!$E$10:$E$29,,,COUNTA(Setting!$E$10:$E$29))</definedName>
    <definedName name="Target">OFFSET(Setting!$C$10:$C$29,,,COUNTA(Setting!$C$10:$C$29))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8" l="1"/>
  <c r="D8" i="8"/>
  <c r="A3" i="8" l="1"/>
  <c r="A7" i="8"/>
  <c r="A10" i="8"/>
  <c r="A11" i="8"/>
  <c r="A12" i="8"/>
  <c r="A6" i="8" l="1"/>
  <c r="D12" i="8" l="1"/>
  <c r="D11" i="8"/>
  <c r="D10" i="8"/>
  <c r="D7" i="8"/>
  <c r="D6" i="8"/>
  <c r="D4" i="8" l="1"/>
  <c r="D3" i="8"/>
  <c r="E7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怪物類型
Normal:一般怪
Boss:頭目 出現在最後一道門
※沒填預設為Normal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填入</t>
        </r>
        <r>
          <rPr>
            <sz val="9"/>
            <color indexed="81"/>
            <rFont val="Tahoma"/>
            <family val="2"/>
          </rPr>
          <t>supply tags(</t>
        </r>
        <r>
          <rPr>
            <sz val="9"/>
            <color indexed="81"/>
            <rFont val="細明體"/>
            <family val="3"/>
            <charset val="136"/>
          </rPr>
          <t>逗號隔開</t>
        </r>
        <r>
          <rPr>
            <sz val="9"/>
            <color indexed="81"/>
            <rFont val="Tahoma"/>
            <family val="2"/>
          </rPr>
          <t>) EX. Sharp,Heavy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<sst xmlns="http://schemas.openxmlformats.org/spreadsheetml/2006/main" count="335" uniqueCount="269">
  <si>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</si>
  <si>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</si>
  <si>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</si>
  <si>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</si>
  <si>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</si>
  <si>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</si>
  <si>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</si>
  <si>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</si>
  <si>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</si>
  <si>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</si>
  <si>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</si>
  <si>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</si>
  <si>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</si>
  <si>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</si>
  <si>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</si>
  <si>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</si>
  <si>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</si>
  <si>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</si>
  <si>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</si>
  <si>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</si>
  <si>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</si>
  <si>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</si>
  <si>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</si>
  <si>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</si>
  <si>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</si>
  <si>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</si>
  <si>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</si>
  <si>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</si>
  <si>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</si>
  <si>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</si>
  <si>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</si>
  <si>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</si>
  <si>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</si>
  <si>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</si>
  <si>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</si>
  <si>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</si>
  <si>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</si>
  <si>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</si>
  <si>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</si>
  <si>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</si>
  <si>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</si>
  <si>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</si>
  <si>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</si>
  <si>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</si>
  <si>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</si>
  <si>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</si>
  <si>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</si>
  <si>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</si>
  <si>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</si>
  <si>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</si>
  <si>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</si>
  <si>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</si>
  <si>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</si>
  <si>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</si>
  <si>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</si>
  <si>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</si>
  <si>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</si>
  <si>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</si>
  <si>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</si>
  <si>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</si>
  <si>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</si>
  <si>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</si>
  <si>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</si>
  <si>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</si>
  <si>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</si>
  <si>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</si>
  <si>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</si>
  <si>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</si>
  <si>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</si>
  <si>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</si>
  <si>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</si>
  <si>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</si>
  <si>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</si>
  <si>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</si>
  <si>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</si>
  <si>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</si>
  <si>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編號</t>
    <phoneticPr fontId="1" type="noConversion"/>
  </si>
  <si>
    <t>輸出Json</t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</si>
  <si>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</si>
  <si>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</si>
  <si>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</si>
  <si>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</si>
  <si>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</si>
  <si>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</si>
  <si>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</si>
  <si>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</si>
  <si>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</si>
  <si>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</si>
  <si>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</si>
  <si>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</si>
  <si>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</si>
  <si>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</si>
  <si>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</si>
  <si>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</si>
  <si>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</si>
  <si>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</si>
  <si>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</si>
  <si>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</si>
  <si>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</si>
  <si>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</si>
  <si>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</si>
  <si>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</si>
  <si>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</si>
  <si>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</si>
  <si>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</si>
  <si>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</si>
  <si>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</si>
  <si>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</si>
  <si>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</si>
  <si>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</si>
  <si>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</si>
  <si>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</si>
  <si>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</si>
  <si>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</si>
  <si>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</si>
  <si>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</si>
  <si>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</si>
  <si>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</si>
  <si>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</si>
  <si>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</si>
  <si>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</si>
  <si>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</si>
  <si>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</si>
  <si>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</si>
  <si>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</si>
  <si>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</si>
  <si>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</si>
  <si>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</si>
  <si>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</si>
  <si>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</si>
  <si>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詛咒女巫</t>
    <phoneticPr fontId="1" type="noConversion"/>
  </si>
  <si>
    <t>頭部命中</t>
    <phoneticPr fontId="1" type="noConversion"/>
  </si>
  <si>
    <t>頭部傷害</t>
    <phoneticPr fontId="1" type="noConversion"/>
  </si>
  <si>
    <t>HeadDmg</t>
    <phoneticPr fontId="1" type="noConversion"/>
  </si>
  <si>
    <t>BodyDmg</t>
    <phoneticPr fontId="1" type="noConversion"/>
  </si>
  <si>
    <t>身體命中</t>
    <phoneticPr fontId="1" type="noConversion"/>
  </si>
  <si>
    <t>身體傷害</t>
    <phoneticPr fontId="1" type="noConversion"/>
  </si>
  <si>
    <t>四肢傷害</t>
    <phoneticPr fontId="1" type="noConversion"/>
  </si>
  <si>
    <t>四肢命中</t>
    <phoneticPr fontId="1" type="noConversion"/>
  </si>
  <si>
    <t>巨型蜘蛛</t>
    <phoneticPr fontId="1" type="noConversion"/>
  </si>
  <si>
    <t>漂浮嘴</t>
    <phoneticPr fontId="1" type="noConversion"/>
  </si>
  <si>
    <t>長頸先生</t>
    <phoneticPr fontId="1" type="noConversion"/>
  </si>
  <si>
    <t>長頸女士</t>
    <phoneticPr fontId="1" type="noConversion"/>
  </si>
  <si>
    <t>貝殼人</t>
    <phoneticPr fontId="1" type="noConversion"/>
  </si>
  <si>
    <t>MonsterID</t>
    <phoneticPr fontId="1" type="noConversion"/>
  </si>
  <si>
    <t>怪物ID</t>
    <phoneticPr fontId="1" type="noConversion"/>
  </si>
  <si>
    <t>Probability</t>
    <phoneticPr fontId="1" type="noConversion"/>
  </si>
  <si>
    <t>機率</t>
    <phoneticPr fontId="1" type="noConversion"/>
  </si>
  <si>
    <t>EffectType1</t>
    <phoneticPr fontId="1" type="noConversion"/>
  </si>
  <si>
    <t>EffectValue1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</si>
  <si>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</si>
  <si>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</si>
  <si>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</si>
  <si>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</t>
    <phoneticPr fontId="1" type="noConversion"/>
  </si>
  <si>
    <t>說明</t>
    <phoneticPr fontId="1" type="noConversion"/>
  </si>
  <si>
    <t>Target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</si>
  <si>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</si>
  <si>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</si>
  <si>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</si>
  <si>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</si>
  <si>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EffectType2</t>
  </si>
  <si>
    <t>EffectValue2</t>
  </si>
  <si>
    <t>效果類型2</t>
  </si>
  <si>
    <t>效果數值2</t>
  </si>
  <si>
    <t>觸發機率2</t>
  </si>
  <si>
    <t>目標1</t>
    <phoneticPr fontId="1" type="noConversion"/>
  </si>
  <si>
    <t>Target1</t>
    <phoneticPr fontId="1" type="noConversion"/>
  </si>
  <si>
    <t>目標2</t>
    <phoneticPr fontId="1" type="noConversion"/>
  </si>
  <si>
    <t>Target2</t>
    <phoneticPr fontId="1" type="noConversion"/>
  </si>
  <si>
    <t>Enemy</t>
  </si>
  <si>
    <t>弱點部位設定</t>
    <phoneticPr fontId="1" type="noConversion"/>
  </si>
  <si>
    <t>左方是標準怪物部位傷害，根據標準來設計弱點部位與特色，
弱點部位: 把某個部位的傷害命中總和調高10% 讓攻擊那個部位的價值變高
特色: 讓價值不變的情形下調整各部位傷害命中比例，例如攻擊某部位的命中變低但傷害變高</t>
    <phoneticPr fontId="1" type="noConversion"/>
  </si>
  <si>
    <t>脖子比較粗 頭飛比較慢
弱點是頭(較好命中)</t>
    <phoneticPr fontId="1" type="noConversion"/>
  </si>
  <si>
    <t>弱點是身體(較好命中)</t>
    <phoneticPr fontId="1" type="noConversion"/>
  </si>
  <si>
    <t>弱點是四肢(傷害較高)
打頭(傷害多一點但也較難命中)</t>
    <phoneticPr fontId="1" type="noConversion"/>
  </si>
  <si>
    <t>脖子很細 頭飛很快
弱點是身體(命中跟傷害都變高)
打頭價值變低(不好命中傷害也變少)</t>
    <phoneticPr fontId="1" type="noConversion"/>
  </si>
  <si>
    <t>沒有弱點 只能攻擊身體 但不好命中</t>
    <phoneticPr fontId="1" type="noConversion"/>
  </si>
  <si>
    <t>在貝殼裡的人 會從貝殼伸出觸手
弱點是頭(雖然命中機率不高 但傷害很高)
打身體沒什麼用(傷害很低)
打四肢價值不高但比身體好</t>
    <phoneticPr fontId="1" type="noConversion"/>
  </si>
  <si>
    <t>Weakness</t>
    <phoneticPr fontId="1" type="noConversion"/>
  </si>
  <si>
    <t>弱點</t>
    <phoneticPr fontId="1" type="noConversion"/>
  </si>
  <si>
    <t>Heavy</t>
    <phoneticPr fontId="1" type="noConversion"/>
  </si>
  <si>
    <t>Sharp</t>
    <phoneticPr fontId="1" type="noConversion"/>
  </si>
  <si>
    <t>HeadProb</t>
    <phoneticPr fontId="1" type="noConversion"/>
  </si>
  <si>
    <t>BodyProb</t>
    <phoneticPr fontId="1" type="noConversion"/>
  </si>
  <si>
    <t>LimbsProb</t>
    <phoneticPr fontId="1" type="noConversion"/>
  </si>
  <si>
    <t>LimbsDmg</t>
    <phoneticPr fontId="1" type="noConversion"/>
  </si>
  <si>
    <t>Enemy</t>
    <phoneticPr fontId="1" type="noConversion"/>
  </si>
  <si>
    <t>EffectProb1</t>
    <phoneticPr fontId="1" type="noConversion"/>
  </si>
  <si>
    <t>EffectProb2</t>
    <phoneticPr fontId="1" type="noConversion"/>
  </si>
  <si>
    <t>HP</t>
    <phoneticPr fontId="1" type="noConversion"/>
  </si>
  <si>
    <t>MonsterType</t>
    <phoneticPr fontId="1" type="noConversion"/>
  </si>
  <si>
    <t>怪物類型</t>
    <phoneticPr fontId="1" type="noConversion"/>
  </si>
  <si>
    <t>Boss</t>
  </si>
  <si>
    <t>Boss</t>
    <phoneticPr fontId="1" type="noConversion"/>
  </si>
  <si>
    <t>Normal</t>
    <phoneticPr fontId="1" type="noConversion"/>
  </si>
  <si>
    <t>一般</t>
    <phoneticPr fontId="1" type="noConversion"/>
  </si>
  <si>
    <t>頭目</t>
    <phoneticPr fontId="1" type="noConversion"/>
  </si>
  <si>
    <t>MonsterType</t>
    <phoneticPr fontId="1" type="noConversion"/>
  </si>
  <si>
    <t>Boss</t>
    <phoneticPr fontId="1" type="noConversion"/>
  </si>
  <si>
    <t>Normal</t>
    <phoneticPr fontId="1" type="noConversion"/>
  </si>
  <si>
    <t>Time</t>
  </si>
  <si>
    <t>消耗時間</t>
  </si>
  <si>
    <t>monster1</t>
  </si>
  <si>
    <t>Dizzy</t>
  </si>
  <si>
    <t>Monster_</t>
    <phoneticPr fontId="1" type="noConversion"/>
  </si>
  <si>
    <t>怪物</t>
    <phoneticPr fontId="1" type="noConversion"/>
  </si>
  <si>
    <t>重擊</t>
    <phoneticPr fontId="1" type="noConversion"/>
  </si>
  <si>
    <t>甩擊</t>
    <phoneticPr fontId="1" type="noConversion"/>
  </si>
  <si>
    <t>抓</t>
    <phoneticPr fontId="1" type="noConversion"/>
  </si>
  <si>
    <t>吐絲</t>
    <phoneticPr fontId="1" type="noConversion"/>
  </si>
  <si>
    <t>爪擊</t>
    <phoneticPr fontId="1" type="noConversion"/>
  </si>
  <si>
    <t>咆嘯</t>
    <phoneticPr fontId="1" type="noConversion"/>
  </si>
  <si>
    <t>咬</t>
    <phoneticPr fontId="1" type="noConversion"/>
  </si>
  <si>
    <t>Attack</t>
  </si>
  <si>
    <t>SanAttack</t>
  </si>
  <si>
    <t>40</t>
    <phoneticPr fontId="1" type="noConversion"/>
  </si>
  <si>
    <t>30</t>
    <phoneticPr fontId="1" type="noConversion"/>
  </si>
  <si>
    <t>20</t>
    <phoneticPr fontId="1" type="noConversion"/>
  </si>
  <si>
    <t>40</t>
    <phoneticPr fontId="1" type="noConversion"/>
  </si>
  <si>
    <t>2</t>
    <phoneticPr fontId="1" type="noConversion"/>
  </si>
  <si>
    <t>15</t>
    <phoneticPr fontId="1" type="noConversion"/>
  </si>
  <si>
    <t>Attack</t>
    <phoneticPr fontId="1" type="noConversion"/>
  </si>
  <si>
    <t>攻擊
造成層數傷害</t>
    <phoneticPr fontId="1" type="noConversion"/>
  </si>
  <si>
    <t>SanAttack</t>
    <phoneticPr fontId="1" type="noConversion"/>
  </si>
  <si>
    <t>理智
造成層數神智傷害</t>
    <phoneticPr fontId="1" type="noConversion"/>
  </si>
  <si>
    <t>RestoreHP</t>
    <phoneticPr fontId="1" type="noConversion"/>
  </si>
  <si>
    <t>恢復生命
恢復層數生命</t>
    <phoneticPr fontId="1" type="noConversion"/>
  </si>
  <si>
    <t>RestoreSanP</t>
    <phoneticPr fontId="1" type="noConversion"/>
  </si>
  <si>
    <t>恢復神智
恢復層數神智</t>
    <phoneticPr fontId="1" type="noConversion"/>
  </si>
  <si>
    <t>Dizzy</t>
    <phoneticPr fontId="1" type="noConversion"/>
  </si>
  <si>
    <t>暈眩
使行動消耗增加層數時間 行動後移除暈眩效果</t>
    <phoneticPr fontId="1" type="noConversion"/>
  </si>
  <si>
    <t>Poison</t>
    <phoneticPr fontId="1" type="noConversion"/>
  </si>
  <si>
    <t>中毒
每次時間流逝都會受到層數傷害並減少層數 戰鬥後保留狀態</t>
    <phoneticPr fontId="1" type="noConversion"/>
  </si>
  <si>
    <t>Fear</t>
    <phoneticPr fontId="1" type="noConversion"/>
  </si>
  <si>
    <t>恐懼
每次時間流逝都會受到層數神智傷害並減少層數 戰鬥後保留狀態</t>
    <phoneticPr fontId="1" type="noConversion"/>
  </si>
  <si>
    <t>Bleeding</t>
    <phoneticPr fontId="1" type="noConversion"/>
  </si>
  <si>
    <t>流血
每次時間流逝都會受到層數傷害</t>
    <phoneticPr fontId="1" type="noConversion"/>
  </si>
  <si>
    <t>Insanity</t>
    <phoneticPr fontId="1" type="noConversion"/>
  </si>
  <si>
    <t>崩潰
每次時間流逝都會受到層數的神智傷害</t>
    <phoneticPr fontId="1" type="noConversion"/>
  </si>
  <si>
    <t>Evade</t>
    <phoneticPr fontId="1" type="noConversion"/>
  </si>
  <si>
    <t>迴避
增加50%迴避率 隨時間減少層數</t>
    <phoneticPr fontId="1" type="noConversion"/>
  </si>
  <si>
    <t>Burst</t>
    <phoneticPr fontId="1" type="noConversion"/>
  </si>
  <si>
    <t>爆發
攻擊時增加50%傷害 隨時間減少層數</t>
    <phoneticPr fontId="1" type="noConversion"/>
  </si>
  <si>
    <t>Weak</t>
    <phoneticPr fontId="1" type="noConversion"/>
  </si>
  <si>
    <t>衰弱
攻擊時減少50%傷害 隨時間減少層數</t>
    <phoneticPr fontId="1" type="noConversion"/>
  </si>
  <si>
    <t>Horror</t>
    <phoneticPr fontId="1" type="noConversion"/>
  </si>
  <si>
    <t>恐怖
神智攻擊時增加50%傷害 隨時間減少層數</t>
    <phoneticPr fontId="1" type="noConversion"/>
  </si>
  <si>
    <t>Protection</t>
    <phoneticPr fontId="1" type="noConversion"/>
  </si>
  <si>
    <t>防護
受到的傷害減少50% 隨時間減少層數</t>
    <phoneticPr fontId="1" type="noConversion"/>
  </si>
  <si>
    <t>Fortitude</t>
    <phoneticPr fontId="1" type="noConversion"/>
  </si>
  <si>
    <t>堅毅
受到的神智傷害減少50% 隨時間減少層數</t>
    <phoneticPr fontId="1" type="noConversion"/>
  </si>
  <si>
    <t>Antidote</t>
    <phoneticPr fontId="1" type="noConversion"/>
  </si>
  <si>
    <t>解毒
解除中毒狀態</t>
    <phoneticPr fontId="1" type="noConversion"/>
  </si>
  <si>
    <t>Recovery</t>
    <phoneticPr fontId="1" type="noConversion"/>
  </si>
  <si>
    <t>恢復理智
解除恐懼狀態</t>
    <phoneticPr fontId="1" type="noConversion"/>
  </si>
  <si>
    <t>Strong</t>
    <phoneticPr fontId="1" type="noConversion"/>
  </si>
  <si>
    <t>強壯
免疫流血與中毒狀態</t>
    <phoneticPr fontId="1" type="noConversion"/>
  </si>
  <si>
    <t>Faith</t>
    <phoneticPr fontId="1" type="noConversion"/>
  </si>
  <si>
    <t>信仰
免疫精神崩潰與恐懼狀態</t>
    <phoneticPr fontId="1" type="noConversion"/>
  </si>
  <si>
    <t>Flee</t>
    <phoneticPr fontId="1" type="noConversion"/>
  </si>
  <si>
    <t>逃離戰鬥</t>
    <phoneticPr fontId="1" type="noConversion"/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</si>
  <si>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</si>
  <si>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</si>
  <si>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</si>
  <si>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靈體化
免疫物理攻擊傷害，隨時間減少層數</t>
    <phoneticPr fontId="1" type="noConversion"/>
  </si>
  <si>
    <t>Blindness</t>
    <phoneticPr fontId="1" type="noConversion"/>
  </si>
  <si>
    <t>失明
攻擊命中率下降20%，隨時間減少層數</t>
    <phoneticPr fontId="1" type="noConversion"/>
  </si>
  <si>
    <t>Focus</t>
    <phoneticPr fontId="1" type="noConversion"/>
  </si>
  <si>
    <t>專注
攻擊命中率上升20%，隨時間減少層數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</si>
</sst>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4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10"/>
  <sheetViews>
    <sheetView tabSelected="1" zoomScale="115" zoomScaleNormal="115"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C13" sqref="C13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35.7109375" style="10" customWidth="1"/>
    <col min="4" max="4" width="6.140625" style="13" customWidth="1"/>
    <col min="5" max="5" width="11.5703125" style="15" customWidth="1"/>
    <col min="6" max="6" width="13.7109375" style="15" customWidth="1"/>
    <col min="7" max="7" width="7.42578125" style="10" customWidth="1"/>
    <col min="8" max="8" width="11.28515625" style="10" customWidth="1"/>
    <col min="9" max="9" width="11.5703125" style="18" customWidth="1"/>
    <col min="10" max="10" width="15.85546875" style="18" customWidth="1"/>
    <col min="11" max="11" width="11" style="18" customWidth="1"/>
    <col min="12" max="12" width="16.28515625" style="18" customWidth="1"/>
    <col min="13" max="13" width="11" style="18" customWidth="1"/>
    <col min="14" max="14" width="16.28515625" style="18" customWidth="1"/>
    <col min="15" max="15" width="12.5703125" style="10" customWidth="1"/>
    <col min="16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125</v>
      </c>
      <c r="D1" s="12" t="s">
        <v>123</v>
      </c>
      <c r="E1" s="14" t="s">
        <v>124</v>
      </c>
      <c r="F1" s="14" t="s">
        <v>190</v>
      </c>
      <c r="G1" s="9" t="s">
        <v>189</v>
      </c>
      <c r="H1" s="9" t="s">
        <v>178</v>
      </c>
      <c r="I1" s="17" t="s">
        <v>133</v>
      </c>
      <c r="J1" s="17" t="s">
        <v>182</v>
      </c>
      <c r="K1" s="17" t="s">
        <v>134</v>
      </c>
      <c r="L1" s="17" t="s">
        <v>183</v>
      </c>
      <c r="M1" s="17" t="s">
        <v>185</v>
      </c>
      <c r="N1" s="17" t="s">
        <v>184</v>
      </c>
    </row>
    <row r="2" spans="1:14" s="9" customFormat="1" ht="15" customHeight="1">
      <c r="A2" s="9" t="s">
        <v>76</v>
      </c>
      <c r="B2" s="9" t="s">
        <v>78</v>
      </c>
      <c r="C2" s="9" t="s">
        <v>126</v>
      </c>
      <c r="D2" s="12" t="s">
        <v>79</v>
      </c>
      <c r="E2" s="14" t="s">
        <v>80</v>
      </c>
      <c r="F2" s="9" t="s">
        <v>191</v>
      </c>
      <c r="G2" s="9" t="s">
        <v>127</v>
      </c>
      <c r="H2" s="9" t="s">
        <v>179</v>
      </c>
      <c r="I2" s="17" t="s">
        <v>132</v>
      </c>
      <c r="J2" s="17" t="s">
        <v>131</v>
      </c>
      <c r="K2" s="17" t="s">
        <v>136</v>
      </c>
      <c r="L2" s="17" t="s">
        <v>135</v>
      </c>
      <c r="M2" s="17" t="s">
        <v>137</v>
      </c>
      <c r="N2" s="17" t="s">
        <v>138</v>
      </c>
    </row>
    <row r="3" spans="1:14">
      <c r="B3" s="13"/>
      <c r="C3" s="16"/>
      <c r="E3" s="10"/>
      <c r="F3" s="10"/>
    </row>
    <row r="4" spans="1:14" ht="126.75" customHeight="1">
      <c r="B4" s="13" t="s">
        <v>170</v>
      </c>
      <c r="C4" s="16" t="s">
        <v>171</v>
      </c>
      <c r="E4" s="10"/>
      <c r="F4" s="10"/>
      <c r="I4" s="18">
        <v>1</v>
      </c>
      <c r="J4" s="18">
        <v>0.6</v>
      </c>
      <c r="K4" s="18">
        <v>0.8</v>
      </c>
      <c r="L4" s="18">
        <v>0.8</v>
      </c>
      <c r="M4" s="18">
        <v>0.5</v>
      </c>
      <c r="N4" s="18">
        <v>1</v>
      </c>
    </row>
    <row r="5" spans="1:14">
      <c r="B5" s="13"/>
      <c r="C5" s="16"/>
      <c r="E5" s="10"/>
      <c r="F5" s="10"/>
    </row>
    <row r="6" spans="1:14">
      <c r="B6" s="21" t="s">
        <v>198</v>
      </c>
      <c r="C6" s="16"/>
      <c r="E6" s="10"/>
      <c r="F6" s="10"/>
    </row>
    <row r="7" spans="1:14" ht="78.75">
      <c r="A7" s="10">
        <v>1</v>
      </c>
      <c r="B7" s="13" t="s">
        <v>143</v>
      </c>
      <c r="C7" s="16" t="s">
        <v>177</v>
      </c>
      <c r="D7" s="13">
        <v>1</v>
      </c>
      <c r="E7" s="10" t="str">
        <f t="shared" ref="E7" si="0">"monster"&amp;A7</f>
        <v>monster1</v>
      </c>
      <c r="F7" s="10" t="s">
        <v>192</v>
      </c>
      <c r="G7" s="10">
        <v>200</v>
      </c>
      <c r="I7" s="18">
        <v>1.8</v>
      </c>
      <c r="J7" s="18">
        <v>0.4</v>
      </c>
      <c r="K7" s="18">
        <v>0.2</v>
      </c>
      <c r="L7" s="18">
        <v>1</v>
      </c>
      <c r="M7" s="18">
        <v>0.7</v>
      </c>
      <c r="N7" s="18">
        <v>0.8</v>
      </c>
    </row>
    <row r="8" spans="1:14">
      <c r="B8" s="13"/>
      <c r="C8" s="16"/>
      <c r="E8" s="10"/>
      <c r="F8" s="10"/>
    </row>
    <row r="9" spans="1:14">
      <c r="B9" s="21" t="s">
        <v>199</v>
      </c>
      <c r="C9" s="16"/>
      <c r="E9" s="10"/>
      <c r="F9" s="10"/>
    </row>
    <row r="10" spans="1:14">
      <c r="A10" s="10">
        <v>1001</v>
      </c>
      <c r="B10" s="13" t="s">
        <v>130</v>
      </c>
      <c r="C10" s="16" t="s">
        <v>173</v>
      </c>
      <c r="D10" s="13">
        <v>1</v>
      </c>
      <c r="E10" s="10" t="s">
        <v>202</v>
      </c>
      <c r="F10" s="10"/>
      <c r="G10" s="10">
        <v>100</v>
      </c>
      <c r="H10" s="10" t="s">
        <v>181</v>
      </c>
      <c r="I10" s="18">
        <v>1</v>
      </c>
      <c r="J10" s="18">
        <v>0.6</v>
      </c>
      <c r="K10" s="18">
        <v>0.8</v>
      </c>
      <c r="L10" s="18">
        <v>0.9</v>
      </c>
      <c r="M10" s="18">
        <v>0.6</v>
      </c>
      <c r="N10" s="18">
        <v>1</v>
      </c>
    </row>
    <row r="11" spans="1:14" ht="31.5">
      <c r="A11" s="10">
        <v>1002</v>
      </c>
      <c r="B11" s="13" t="s">
        <v>139</v>
      </c>
      <c r="C11" s="16" t="s">
        <v>174</v>
      </c>
      <c r="D11" s="13">
        <v>1</v>
      </c>
      <c r="E11" s="10" t="s">
        <v>202</v>
      </c>
      <c r="F11" s="10"/>
      <c r="G11" s="10">
        <v>130</v>
      </c>
      <c r="H11" s="10" t="s">
        <v>180</v>
      </c>
      <c r="I11" s="18">
        <v>1.1000000000000001</v>
      </c>
      <c r="J11" s="18">
        <v>0.5</v>
      </c>
      <c r="K11" s="18">
        <v>0.8</v>
      </c>
      <c r="L11" s="18">
        <v>0.8</v>
      </c>
      <c r="M11" s="18">
        <v>0.7</v>
      </c>
      <c r="N11" s="18">
        <v>1</v>
      </c>
    </row>
    <row r="12" spans="1:14" ht="31.5">
      <c r="A12" s="10">
        <v>1003</v>
      </c>
      <c r="B12" s="13" t="s">
        <v>141</v>
      </c>
      <c r="C12" s="16" t="s">
        <v>172</v>
      </c>
      <c r="D12" s="13">
        <v>1</v>
      </c>
      <c r="E12" s="10" t="s">
        <v>202</v>
      </c>
      <c r="F12" s="10"/>
      <c r="G12" s="10">
        <v>100</v>
      </c>
      <c r="I12" s="18">
        <v>1</v>
      </c>
      <c r="J12" s="18">
        <v>0.7</v>
      </c>
      <c r="K12" s="18">
        <v>0.8</v>
      </c>
      <c r="L12" s="18">
        <v>0.8</v>
      </c>
      <c r="M12" s="18">
        <v>0.6</v>
      </c>
      <c r="N12" s="18">
        <v>1</v>
      </c>
    </row>
    <row r="13" spans="1:14" ht="47.25">
      <c r="A13" s="10">
        <v>1004</v>
      </c>
      <c r="B13" s="13" t="s">
        <v>142</v>
      </c>
      <c r="C13" s="16" t="s">
        <v>175</v>
      </c>
      <c r="D13" s="13">
        <v>1</v>
      </c>
      <c r="E13" s="10" t="s">
        <v>202</v>
      </c>
      <c r="F13" s="10"/>
      <c r="G13" s="10">
        <v>100</v>
      </c>
      <c r="I13" s="18">
        <v>1</v>
      </c>
      <c r="J13" s="18">
        <v>0.5</v>
      </c>
      <c r="K13" s="18">
        <v>0.9</v>
      </c>
      <c r="L13" s="18">
        <v>0.9</v>
      </c>
      <c r="M13" s="18">
        <v>0.6</v>
      </c>
      <c r="N13" s="18">
        <v>1</v>
      </c>
    </row>
    <row r="14" spans="1:14">
      <c r="A14" s="10">
        <v>1005</v>
      </c>
      <c r="B14" s="13" t="s">
        <v>140</v>
      </c>
      <c r="C14" s="16" t="s">
        <v>176</v>
      </c>
      <c r="D14" s="13">
        <v>1</v>
      </c>
      <c r="E14" s="10" t="s">
        <v>202</v>
      </c>
      <c r="F14" s="10"/>
      <c r="G14" s="10">
        <v>80</v>
      </c>
      <c r="K14" s="18">
        <v>1</v>
      </c>
      <c r="L14" s="18">
        <v>0.6</v>
      </c>
    </row>
    <row r="15" spans="1:14">
      <c r="B15" s="13"/>
      <c r="C15" s="16"/>
      <c r="E15" s="10"/>
      <c r="F15" s="10"/>
    </row>
    <row r="16" spans="1:14">
      <c r="B16" s="13"/>
      <c r="C16" s="16"/>
      <c r="E16" s="10"/>
      <c r="F16" s="10"/>
    </row>
    <row r="17" spans="1:6">
      <c r="B17" s="13"/>
      <c r="C17" s="16"/>
      <c r="E17" s="10"/>
      <c r="F17" s="10"/>
    </row>
    <row r="18" spans="1:6">
      <c r="B18" s="13"/>
      <c r="C18" s="16"/>
      <c r="E18" s="10"/>
      <c r="F18" s="10"/>
    </row>
    <row r="19" spans="1:6">
      <c r="B19" s="13"/>
      <c r="C19" s="16"/>
      <c r="E19" s="10"/>
      <c r="F19" s="10"/>
    </row>
    <row r="20" spans="1:6">
      <c r="B20" s="13"/>
      <c r="C20" s="16"/>
      <c r="E20" s="10"/>
      <c r="F20" s="10"/>
    </row>
    <row r="21" spans="1:6">
      <c r="B21" s="13"/>
      <c r="C21" s="16"/>
      <c r="E21" s="10"/>
      <c r="F21" s="10"/>
    </row>
    <row r="22" spans="1:6">
      <c r="B22" s="13"/>
      <c r="C22" s="16"/>
      <c r="E22" s="10"/>
      <c r="F22" s="10"/>
    </row>
    <row r="23" spans="1:6">
      <c r="B23" s="13"/>
      <c r="C23" s="16"/>
      <c r="E23" s="10"/>
      <c r="F23" s="10"/>
    </row>
    <row r="24" spans="1:6">
      <c r="C24" s="16"/>
      <c r="E24" s="10"/>
      <c r="F24" s="10"/>
    </row>
    <row r="25" spans="1:6">
      <c r="C25" s="16"/>
      <c r="E25" s="10"/>
      <c r="F25" s="10"/>
    </row>
    <row r="27" spans="1:6">
      <c r="A27" s="11" t="s">
        <v>0</v>
      </c>
    </row>
    <row r="171" spans="4:14" ht="31.5">
      <c r="D171" s="10"/>
      <c r="E171" s="15" t="s">
        <v>81</v>
      </c>
      <c r="I171" s="10"/>
      <c r="J171" s="10"/>
      <c r="K171" s="10"/>
      <c r="L171" s="10"/>
      <c r="M171" s="10"/>
      <c r="N171" s="10"/>
    </row>
    <row r="172" spans="4:14" ht="31.5">
      <c r="D172" s="10"/>
      <c r="E172" s="15" t="s">
        <v>82</v>
      </c>
      <c r="I172" s="10"/>
      <c r="J172" s="10"/>
      <c r="K172" s="10"/>
      <c r="L172" s="10"/>
      <c r="M172" s="10"/>
      <c r="N172" s="10"/>
    </row>
    <row r="173" spans="4:14" ht="31.5">
      <c r="D173" s="10"/>
      <c r="E173" s="15" t="s">
        <v>83</v>
      </c>
      <c r="I173" s="10"/>
      <c r="J173" s="10"/>
      <c r="K173" s="10"/>
      <c r="L173" s="10"/>
      <c r="M173" s="10"/>
      <c r="N173" s="10"/>
    </row>
    <row r="174" spans="4:14" ht="31.5">
      <c r="D174" s="10"/>
      <c r="E174" s="15" t="s">
        <v>84</v>
      </c>
      <c r="I174" s="10"/>
      <c r="J174" s="10"/>
      <c r="K174" s="10"/>
      <c r="L174" s="10"/>
      <c r="M174" s="10"/>
      <c r="N174" s="10"/>
    </row>
    <row r="175" spans="4:14" ht="31.5">
      <c r="D175" s="10"/>
      <c r="E175" s="15" t="s">
        <v>85</v>
      </c>
      <c r="I175" s="10"/>
      <c r="J175" s="10"/>
      <c r="K175" s="10"/>
      <c r="L175" s="10"/>
      <c r="M175" s="10"/>
      <c r="N175" s="10"/>
    </row>
    <row r="176" spans="4:14">
      <c r="D176" s="10"/>
      <c r="E176" s="15" t="s">
        <v>86</v>
      </c>
      <c r="I176" s="10"/>
      <c r="J176" s="10"/>
      <c r="K176" s="10"/>
      <c r="L176" s="10"/>
      <c r="M176" s="10"/>
      <c r="N176" s="10"/>
    </row>
    <row r="177" spans="4:14" ht="31.5">
      <c r="D177" s="10"/>
      <c r="E177" s="15" t="s">
        <v>87</v>
      </c>
      <c r="I177" s="10"/>
      <c r="J177" s="10"/>
      <c r="K177" s="10"/>
      <c r="L177" s="10"/>
      <c r="M177" s="10"/>
      <c r="N177" s="10"/>
    </row>
    <row r="178" spans="4:14" ht="31.5">
      <c r="D178" s="10"/>
      <c r="E178" s="15" t="s">
        <v>88</v>
      </c>
      <c r="I178" s="10"/>
      <c r="J178" s="10"/>
      <c r="K178" s="10"/>
      <c r="L178" s="10"/>
      <c r="M178" s="10"/>
      <c r="N178" s="10"/>
    </row>
    <row r="179" spans="4:14" ht="31.5">
      <c r="D179" s="10"/>
      <c r="E179" s="15" t="s">
        <v>89</v>
      </c>
      <c r="I179" s="10"/>
      <c r="J179" s="10"/>
      <c r="K179" s="10"/>
      <c r="L179" s="10"/>
      <c r="M179" s="10"/>
      <c r="N179" s="10"/>
    </row>
    <row r="180" spans="4:14" ht="31.5">
      <c r="D180" s="10"/>
      <c r="E180" s="15" t="s">
        <v>90</v>
      </c>
      <c r="I180" s="10"/>
      <c r="J180" s="10"/>
      <c r="K180" s="10"/>
      <c r="L180" s="10"/>
      <c r="M180" s="10"/>
      <c r="N180" s="10"/>
    </row>
    <row r="181" spans="4:14" ht="31.5">
      <c r="D181" s="10"/>
      <c r="E181" s="15" t="s">
        <v>91</v>
      </c>
      <c r="I181" s="10"/>
      <c r="J181" s="10"/>
      <c r="K181" s="10"/>
      <c r="L181" s="10"/>
      <c r="M181" s="10"/>
      <c r="N181" s="10"/>
    </row>
    <row r="182" spans="4:14" ht="31.5">
      <c r="D182" s="10"/>
      <c r="E182" s="15" t="s">
        <v>92</v>
      </c>
      <c r="I182" s="10"/>
      <c r="J182" s="10"/>
      <c r="K182" s="10"/>
      <c r="L182" s="10"/>
      <c r="M182" s="10"/>
      <c r="N182" s="10"/>
    </row>
    <row r="183" spans="4:14" ht="31.5">
      <c r="D183" s="10"/>
      <c r="E183" s="15" t="s">
        <v>93</v>
      </c>
      <c r="I183" s="10"/>
      <c r="J183" s="10"/>
      <c r="K183" s="10"/>
      <c r="L183" s="10"/>
      <c r="M183" s="10"/>
      <c r="N183" s="10"/>
    </row>
    <row r="184" spans="4:14" ht="31.5">
      <c r="D184" s="10"/>
      <c r="E184" s="15" t="s">
        <v>94</v>
      </c>
      <c r="I184" s="10"/>
      <c r="J184" s="10"/>
      <c r="K184" s="10"/>
      <c r="L184" s="10"/>
      <c r="M184" s="10"/>
      <c r="N184" s="10"/>
    </row>
    <row r="185" spans="4:14" ht="31.5">
      <c r="D185" s="10"/>
      <c r="E185" s="15" t="s">
        <v>95</v>
      </c>
      <c r="I185" s="10"/>
      <c r="J185" s="10"/>
      <c r="K185" s="10"/>
      <c r="L185" s="10"/>
      <c r="M185" s="10"/>
      <c r="N185" s="10"/>
    </row>
    <row r="186" spans="4:14" ht="31.5">
      <c r="D186" s="10"/>
      <c r="E186" s="15" t="s">
        <v>96</v>
      </c>
      <c r="I186" s="10"/>
      <c r="J186" s="10"/>
      <c r="K186" s="10"/>
      <c r="L186" s="10"/>
      <c r="M186" s="10"/>
      <c r="N186" s="10"/>
    </row>
    <row r="187" spans="4:14" ht="31.5">
      <c r="D187" s="10"/>
      <c r="E187" s="15" t="s">
        <v>97</v>
      </c>
      <c r="I187" s="10"/>
      <c r="J187" s="10"/>
      <c r="K187" s="10"/>
      <c r="L187" s="10"/>
      <c r="M187" s="10"/>
      <c r="N187" s="10"/>
    </row>
    <row r="188" spans="4:14" ht="31.5">
      <c r="D188" s="10"/>
      <c r="E188" s="15" t="s">
        <v>98</v>
      </c>
      <c r="I188" s="10"/>
      <c r="J188" s="10"/>
      <c r="K188" s="10"/>
      <c r="L188" s="10"/>
      <c r="M188" s="10"/>
      <c r="N188" s="10"/>
    </row>
    <row r="189" spans="4:14" ht="31.5">
      <c r="D189" s="10"/>
      <c r="E189" s="15" t="s">
        <v>99</v>
      </c>
      <c r="I189" s="10"/>
      <c r="J189" s="10"/>
      <c r="K189" s="10"/>
      <c r="L189" s="10"/>
      <c r="M189" s="10"/>
      <c r="N189" s="10"/>
    </row>
    <row r="190" spans="4:14" ht="31.5">
      <c r="D190" s="10"/>
      <c r="E190" s="15" t="s">
        <v>100</v>
      </c>
      <c r="I190" s="10"/>
      <c r="J190" s="10"/>
      <c r="K190" s="10"/>
      <c r="L190" s="10"/>
      <c r="M190" s="10"/>
      <c r="N190" s="10"/>
    </row>
    <row r="191" spans="4:14" ht="31.5">
      <c r="D191" s="10"/>
      <c r="E191" s="15" t="s">
        <v>101</v>
      </c>
      <c r="I191" s="10"/>
      <c r="J191" s="10"/>
      <c r="K191" s="10"/>
      <c r="L191" s="10"/>
      <c r="M191" s="10"/>
      <c r="N191" s="10"/>
    </row>
    <row r="192" spans="4:14" ht="31.5">
      <c r="D192" s="10"/>
      <c r="E192" s="15" t="s">
        <v>102</v>
      </c>
      <c r="I192" s="10"/>
      <c r="J192" s="10"/>
      <c r="K192" s="10"/>
      <c r="L192" s="10"/>
      <c r="M192" s="10"/>
      <c r="N192" s="10"/>
    </row>
    <row r="193" spans="4:14" ht="31.5">
      <c r="D193" s="10"/>
      <c r="E193" s="15" t="s">
        <v>103</v>
      </c>
      <c r="I193" s="10"/>
      <c r="J193" s="10"/>
      <c r="K193" s="10"/>
      <c r="L193" s="10"/>
      <c r="M193" s="10"/>
      <c r="N193" s="10"/>
    </row>
    <row r="194" spans="4:14" ht="31.5">
      <c r="D194" s="10"/>
      <c r="E194" s="15" t="s">
        <v>104</v>
      </c>
      <c r="I194" s="10"/>
      <c r="J194" s="10"/>
      <c r="K194" s="10"/>
      <c r="L194" s="10"/>
      <c r="M194" s="10"/>
      <c r="N194" s="10"/>
    </row>
    <row r="195" spans="4:14" ht="31.5">
      <c r="D195" s="10"/>
      <c r="E195" s="15" t="s">
        <v>105</v>
      </c>
      <c r="I195" s="10"/>
      <c r="J195" s="10"/>
      <c r="K195" s="10"/>
      <c r="L195" s="10"/>
      <c r="M195" s="10"/>
      <c r="N195" s="10"/>
    </row>
    <row r="196" spans="4:14" ht="31.5">
      <c r="D196" s="10"/>
      <c r="E196" s="15" t="s">
        <v>106</v>
      </c>
      <c r="I196" s="10"/>
      <c r="J196" s="10"/>
      <c r="K196" s="10"/>
      <c r="L196" s="10"/>
      <c r="M196" s="10"/>
      <c r="N196" s="10"/>
    </row>
    <row r="197" spans="4:14" ht="31.5">
      <c r="D197" s="10"/>
      <c r="E197" s="15" t="s">
        <v>107</v>
      </c>
      <c r="I197" s="10"/>
      <c r="J197" s="10"/>
      <c r="K197" s="10"/>
      <c r="L197" s="10"/>
      <c r="M197" s="10"/>
      <c r="N197" s="10"/>
    </row>
    <row r="198" spans="4:14" ht="31.5">
      <c r="D198" s="10"/>
      <c r="E198" s="15" t="s">
        <v>108</v>
      </c>
      <c r="I198" s="10"/>
      <c r="J198" s="10"/>
      <c r="K198" s="10"/>
      <c r="L198" s="10"/>
      <c r="M198" s="10"/>
      <c r="N198" s="10"/>
    </row>
    <row r="199" spans="4:14" ht="31.5">
      <c r="D199" s="10"/>
      <c r="E199" s="15" t="s">
        <v>109</v>
      </c>
      <c r="I199" s="10"/>
      <c r="J199" s="10"/>
      <c r="K199" s="10"/>
      <c r="L199" s="10"/>
      <c r="M199" s="10"/>
      <c r="N199" s="10"/>
    </row>
    <row r="200" spans="4:14" ht="31.5">
      <c r="D200" s="10"/>
      <c r="E200" s="15" t="s">
        <v>110</v>
      </c>
      <c r="I200" s="10"/>
      <c r="J200" s="10"/>
      <c r="K200" s="10"/>
      <c r="L200" s="10"/>
      <c r="M200" s="10"/>
      <c r="N200" s="10"/>
    </row>
    <row r="201" spans="4:14" ht="31.5">
      <c r="D201" s="10"/>
      <c r="E201" s="15" t="s">
        <v>111</v>
      </c>
      <c r="I201" s="10"/>
      <c r="J201" s="10"/>
      <c r="K201" s="10"/>
      <c r="L201" s="10"/>
      <c r="M201" s="10"/>
      <c r="N201" s="10"/>
    </row>
    <row r="202" spans="4:14" ht="31.5">
      <c r="D202" s="10"/>
      <c r="E202" s="15" t="s">
        <v>112</v>
      </c>
      <c r="I202" s="10"/>
      <c r="J202" s="10"/>
      <c r="K202" s="10"/>
      <c r="L202" s="10"/>
      <c r="M202" s="10"/>
      <c r="N202" s="10"/>
    </row>
    <row r="203" spans="4:14" ht="31.5">
      <c r="D203" s="10"/>
      <c r="E203" s="15" t="s">
        <v>113</v>
      </c>
      <c r="I203" s="10"/>
      <c r="J203" s="10"/>
      <c r="K203" s="10"/>
      <c r="L203" s="10"/>
      <c r="M203" s="10"/>
      <c r="N203" s="10"/>
    </row>
    <row r="204" spans="4:14" ht="31.5">
      <c r="D204" s="10"/>
      <c r="E204" s="15" t="s">
        <v>114</v>
      </c>
      <c r="I204" s="10"/>
      <c r="J204" s="10"/>
      <c r="K204" s="10"/>
      <c r="L204" s="10"/>
      <c r="M204" s="10"/>
      <c r="N204" s="10"/>
    </row>
    <row r="205" spans="4:14" ht="31.5">
      <c r="D205" s="10"/>
      <c r="E205" s="15" t="s">
        <v>115</v>
      </c>
      <c r="I205" s="10"/>
      <c r="J205" s="10"/>
      <c r="K205" s="10"/>
      <c r="L205" s="10"/>
      <c r="M205" s="10"/>
      <c r="N205" s="10"/>
    </row>
    <row r="206" spans="4:14">
      <c r="D206" s="10"/>
      <c r="E206" s="15" t="s">
        <v>116</v>
      </c>
      <c r="I206" s="10"/>
      <c r="J206" s="10"/>
      <c r="K206" s="10"/>
      <c r="L206" s="10"/>
      <c r="M206" s="10"/>
      <c r="N206" s="10"/>
    </row>
    <row r="207" spans="4:14" ht="31.5">
      <c r="D207" s="10"/>
      <c r="E207" s="15" t="s">
        <v>117</v>
      </c>
      <c r="I207" s="10"/>
      <c r="J207" s="10"/>
      <c r="K207" s="10"/>
      <c r="L207" s="10"/>
      <c r="M207" s="10"/>
      <c r="N207" s="10"/>
    </row>
    <row r="208" spans="4:14" ht="31.5">
      <c r="D208" s="10"/>
      <c r="E208" s="15" t="s">
        <v>118</v>
      </c>
      <c r="I208" s="10"/>
      <c r="J208" s="10"/>
      <c r="K208" s="10"/>
      <c r="L208" s="10"/>
      <c r="M208" s="10"/>
      <c r="N208" s="10"/>
    </row>
    <row r="209" spans="4:14">
      <c r="D209" s="10"/>
      <c r="E209" s="15" t="s">
        <v>119</v>
      </c>
      <c r="I209" s="10"/>
      <c r="J209" s="10"/>
      <c r="K209" s="10"/>
      <c r="L209" s="10"/>
      <c r="M209" s="10"/>
      <c r="N209" s="10"/>
    </row>
    <row r="210" spans="4:14" ht="31.5">
      <c r="D210" s="10"/>
      <c r="E210" s="15" t="s">
        <v>120</v>
      </c>
      <c r="I210" s="10"/>
      <c r="J210" s="10"/>
      <c r="K210" s="10"/>
      <c r="L210" s="10"/>
      <c r="M210" s="10"/>
      <c r="N210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F3:F1048576">
      <formula1>MonsterType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01"/>
  <sheetViews>
    <sheetView workbookViewId="0">
      <selection activeCell="F10" sqref="F10:G10"/>
    </sheetView>
  </sheetViews>
  <sheetFormatPr defaultColWidth="7.5703125" defaultRowHeight="15.75"/>
  <cols>
    <col min="1" max="1" width="7.42578125" style="10" customWidth="1"/>
    <col min="2" max="2" width="14.140625" style="10" customWidth="1"/>
    <col min="3" max="3" width="11.140625" style="10" customWidth="1"/>
    <col min="4" max="4" width="14.140625" style="10" customWidth="1"/>
    <col min="5" max="5" width="13.28515625" style="18" customWidth="1"/>
    <col min="6" max="6" width="11.28515625" style="23" customWidth="1"/>
    <col min="7" max="7" width="13.28515625" style="18" customWidth="1"/>
    <col min="8" max="8" width="15.85546875" style="10" customWidth="1"/>
    <col min="9" max="9" width="15.140625" style="18" customWidth="1"/>
    <col min="10" max="10" width="19.140625" style="18" customWidth="1"/>
    <col min="11" max="11" width="13.28515625" style="18" customWidth="1"/>
    <col min="12" max="12" width="15.85546875" style="10" customWidth="1"/>
    <col min="13" max="13" width="15.140625" style="18" customWidth="1"/>
    <col min="14" max="14" width="19.140625" style="18" customWidth="1"/>
    <col min="15" max="16384" width="7.5703125" style="10"/>
  </cols>
  <sheetData>
    <row r="1" spans="1:14" s="9" customFormat="1">
      <c r="A1" s="9" t="s">
        <v>121</v>
      </c>
      <c r="B1" s="9" t="s">
        <v>122</v>
      </c>
      <c r="C1" s="9" t="s">
        <v>144</v>
      </c>
      <c r="D1" s="9" t="s">
        <v>204</v>
      </c>
      <c r="E1" s="17" t="s">
        <v>146</v>
      </c>
      <c r="F1" s="22" t="s">
        <v>200</v>
      </c>
      <c r="G1" s="17" t="s">
        <v>166</v>
      </c>
      <c r="H1" s="9" t="s">
        <v>148</v>
      </c>
      <c r="I1" s="19" t="s">
        <v>149</v>
      </c>
      <c r="J1" s="17" t="s">
        <v>187</v>
      </c>
      <c r="K1" s="17" t="s">
        <v>168</v>
      </c>
      <c r="L1" s="9" t="s">
        <v>160</v>
      </c>
      <c r="M1" s="19" t="s">
        <v>161</v>
      </c>
      <c r="N1" s="17" t="s">
        <v>188</v>
      </c>
    </row>
    <row r="2" spans="1:14" s="9" customFormat="1">
      <c r="A2" s="9" t="s">
        <v>76</v>
      </c>
      <c r="B2" s="9" t="s">
        <v>78</v>
      </c>
      <c r="C2" s="9" t="s">
        <v>145</v>
      </c>
      <c r="D2" s="9" t="s">
        <v>205</v>
      </c>
      <c r="E2" s="17" t="s">
        <v>147</v>
      </c>
      <c r="F2" s="22" t="s">
        <v>201</v>
      </c>
      <c r="G2" s="17" t="s">
        <v>165</v>
      </c>
      <c r="H2" s="9" t="s">
        <v>150</v>
      </c>
      <c r="I2" s="19" t="s">
        <v>151</v>
      </c>
      <c r="J2" s="17" t="s">
        <v>152</v>
      </c>
      <c r="K2" s="17" t="s">
        <v>167</v>
      </c>
      <c r="L2" s="9" t="s">
        <v>162</v>
      </c>
      <c r="M2" s="19" t="s">
        <v>163</v>
      </c>
      <c r="N2" s="17" t="s">
        <v>164</v>
      </c>
    </row>
    <row r="3" spans="1:14">
      <c r="A3" s="10">
        <f>C3*10</f>
        <v>10</v>
      </c>
      <c r="B3" s="13" t="s">
        <v>206</v>
      </c>
      <c r="C3" s="10">
        <v>1</v>
      </c>
      <c r="D3" s="13" t="str">
        <f>VLOOKUP(C3,Monster!A:B,2,FALSE)</f>
        <v>貝殼人</v>
      </c>
      <c r="E3" s="18">
        <v>0.5</v>
      </c>
      <c r="F3" s="23">
        <v>4</v>
      </c>
      <c r="G3" s="18" t="s">
        <v>169</v>
      </c>
      <c r="H3" s="10" t="s">
        <v>213</v>
      </c>
      <c r="I3" s="20" t="s">
        <v>215</v>
      </c>
      <c r="J3" s="18">
        <v>1</v>
      </c>
      <c r="K3" s="18" t="s">
        <v>169</v>
      </c>
      <c r="L3" s="10" t="s">
        <v>213</v>
      </c>
      <c r="M3" s="20" t="s">
        <v>217</v>
      </c>
      <c r="N3" s="18">
        <v>1</v>
      </c>
    </row>
    <row r="4" spans="1:14">
      <c r="A4" s="10">
        <v>11</v>
      </c>
      <c r="B4" s="13" t="s">
        <v>207</v>
      </c>
      <c r="C4" s="10">
        <v>1</v>
      </c>
      <c r="D4" s="13" t="str">
        <f>VLOOKUP(C4,Monster!A:B,2,FALSE)</f>
        <v>貝殼人</v>
      </c>
      <c r="E4" s="18">
        <v>0.3</v>
      </c>
      <c r="F4" s="23">
        <v>3</v>
      </c>
      <c r="G4" s="18" t="s">
        <v>186</v>
      </c>
      <c r="H4" s="10" t="s">
        <v>213</v>
      </c>
      <c r="I4" s="20" t="s">
        <v>216</v>
      </c>
      <c r="J4" s="18">
        <v>1</v>
      </c>
      <c r="K4" s="18" t="s">
        <v>169</v>
      </c>
      <c r="L4" s="10" t="s">
        <v>203</v>
      </c>
      <c r="M4" s="20" t="s">
        <v>219</v>
      </c>
      <c r="N4" s="18">
        <v>1</v>
      </c>
    </row>
    <row r="5" spans="1:14">
      <c r="B5" s="13"/>
      <c r="D5" s="13"/>
      <c r="I5" s="20"/>
      <c r="M5" s="20"/>
    </row>
    <row r="6" spans="1:14">
      <c r="A6" s="10">
        <f>C6*10</f>
        <v>10010</v>
      </c>
      <c r="B6" s="13" t="s">
        <v>208</v>
      </c>
      <c r="C6" s="10">
        <v>1001</v>
      </c>
      <c r="D6" s="13" t="str">
        <f>VLOOKUP(C6,Monster!A:B,2,FALSE)</f>
        <v>詛咒女巫</v>
      </c>
      <c r="E6" s="18">
        <v>1</v>
      </c>
      <c r="F6" s="23">
        <v>3</v>
      </c>
      <c r="G6" s="18" t="s">
        <v>169</v>
      </c>
      <c r="H6" s="10" t="s">
        <v>213</v>
      </c>
      <c r="I6" s="20" t="s">
        <v>216</v>
      </c>
      <c r="J6" s="18">
        <v>1</v>
      </c>
      <c r="K6" s="18" t="s">
        <v>169</v>
      </c>
      <c r="L6" s="10" t="s">
        <v>213</v>
      </c>
      <c r="M6" s="20" t="s">
        <v>220</v>
      </c>
      <c r="N6" s="18">
        <v>1</v>
      </c>
    </row>
    <row r="7" spans="1:14">
      <c r="A7" s="10">
        <f>C7*10</f>
        <v>10020</v>
      </c>
      <c r="B7" s="13" t="s">
        <v>211</v>
      </c>
      <c r="C7" s="10">
        <v>1002</v>
      </c>
      <c r="D7" s="13" t="str">
        <f>VLOOKUP(C7,Monster!A:B,2,FALSE)</f>
        <v>巨型蜘蛛</v>
      </c>
      <c r="E7" s="18">
        <v>0.3</v>
      </c>
      <c r="F7" s="23">
        <v>2</v>
      </c>
      <c r="G7" s="18" t="s">
        <v>169</v>
      </c>
      <c r="H7" s="10" t="s">
        <v>214</v>
      </c>
      <c r="I7" s="20" t="s">
        <v>217</v>
      </c>
      <c r="J7" s="18">
        <v>1</v>
      </c>
    </row>
    <row r="8" spans="1:14">
      <c r="A8" s="10">
        <v>10021</v>
      </c>
      <c r="B8" s="13" t="s">
        <v>210</v>
      </c>
      <c r="C8" s="10">
        <v>1002</v>
      </c>
      <c r="D8" s="13" t="str">
        <f>VLOOKUP(C8,Monster!A:B,2,FALSE)</f>
        <v>巨型蜘蛛</v>
      </c>
      <c r="E8" s="18">
        <v>0.3</v>
      </c>
      <c r="F8" s="23">
        <v>3</v>
      </c>
      <c r="G8" s="18" t="s">
        <v>169</v>
      </c>
      <c r="H8" s="10" t="s">
        <v>213</v>
      </c>
      <c r="I8" s="20" t="s">
        <v>216</v>
      </c>
      <c r="J8" s="18">
        <v>1</v>
      </c>
    </row>
    <row r="9" spans="1:14">
      <c r="A9" s="10">
        <v>10022</v>
      </c>
      <c r="B9" s="13" t="s">
        <v>209</v>
      </c>
      <c r="C9" s="10">
        <v>1002</v>
      </c>
      <c r="D9" s="13" t="str">
        <f>VLOOKUP(C9,Monster!A:B,2,FALSE)</f>
        <v>巨型蜘蛛</v>
      </c>
      <c r="E9" s="18">
        <v>0.3</v>
      </c>
      <c r="F9" s="23">
        <v>4</v>
      </c>
      <c r="G9" s="18" t="s">
        <v>169</v>
      </c>
      <c r="H9" s="10" t="s">
        <v>213</v>
      </c>
      <c r="I9" s="20" t="s">
        <v>218</v>
      </c>
      <c r="J9" s="18">
        <v>1</v>
      </c>
    </row>
    <row r="10" spans="1:14">
      <c r="A10" s="10">
        <f>C10*10</f>
        <v>10030</v>
      </c>
      <c r="B10" s="13" t="s">
        <v>212</v>
      </c>
      <c r="C10" s="10">
        <v>1003</v>
      </c>
      <c r="D10" s="13" t="str">
        <f>VLOOKUP(C10,Monster!A:B,2,FALSE)</f>
        <v>長頸先生</v>
      </c>
      <c r="E10" s="18">
        <v>1</v>
      </c>
      <c r="F10" s="23">
        <v>2</v>
      </c>
      <c r="G10" s="18" t="s">
        <v>169</v>
      </c>
      <c r="H10" s="10" t="s">
        <v>213</v>
      </c>
      <c r="I10" s="20" t="s">
        <v>217</v>
      </c>
      <c r="J10" s="18">
        <v>1</v>
      </c>
    </row>
    <row r="11" spans="1:14">
      <c r="A11" s="10">
        <f>C11*10</f>
        <v>10040</v>
      </c>
      <c r="B11" s="13" t="s">
        <v>212</v>
      </c>
      <c r="C11" s="10">
        <v>1004</v>
      </c>
      <c r="D11" s="13" t="str">
        <f>VLOOKUP(C11,Monster!A:B,2,FALSE)</f>
        <v>長頸女士</v>
      </c>
      <c r="E11" s="18">
        <v>1</v>
      </c>
      <c r="F11" s="23">
        <v>3</v>
      </c>
      <c r="G11" s="18" t="s">
        <v>169</v>
      </c>
      <c r="H11" s="10" t="s">
        <v>213</v>
      </c>
      <c r="I11" s="20" t="s">
        <v>216</v>
      </c>
      <c r="J11" s="18">
        <v>1</v>
      </c>
    </row>
    <row r="12" spans="1:14">
      <c r="A12" s="10">
        <f>C12*10</f>
        <v>10050</v>
      </c>
      <c r="B12" s="13" t="s">
        <v>212</v>
      </c>
      <c r="C12" s="10">
        <v>1005</v>
      </c>
      <c r="D12" s="13" t="str">
        <f>VLOOKUP(C12,Monster!A:B,2,FALSE)</f>
        <v>漂浮嘴</v>
      </c>
      <c r="E12" s="18">
        <v>1</v>
      </c>
      <c r="F12" s="23">
        <v>2</v>
      </c>
      <c r="G12" s="18" t="s">
        <v>169</v>
      </c>
      <c r="H12" s="10" t="s">
        <v>213</v>
      </c>
      <c r="I12" s="20" t="s">
        <v>217</v>
      </c>
      <c r="J12" s="18">
        <v>1</v>
      </c>
    </row>
    <row r="13" spans="1:14">
      <c r="B13" s="13"/>
      <c r="D13" s="13"/>
    </row>
    <row r="14" spans="1:14">
      <c r="B14" s="13"/>
      <c r="D14" s="13"/>
    </row>
    <row r="18" spans="1:3">
      <c r="A18" s="11" t="s">
        <v>0</v>
      </c>
      <c r="C18" s="11"/>
    </row>
    <row r="162" spans="5:14">
      <c r="E162" s="10"/>
      <c r="G162" s="10"/>
      <c r="I162" s="10"/>
      <c r="J162" s="10"/>
      <c r="K162" s="10"/>
      <c r="M162" s="10"/>
      <c r="N162" s="10"/>
    </row>
    <row r="163" spans="5:14">
      <c r="E163" s="10"/>
      <c r="G163" s="10"/>
      <c r="I163" s="10"/>
      <c r="J163" s="10"/>
      <c r="K163" s="10"/>
      <c r="M163" s="10"/>
      <c r="N163" s="10"/>
    </row>
    <row r="164" spans="5:14">
      <c r="E164" s="10"/>
      <c r="G164" s="10"/>
      <c r="I164" s="10"/>
      <c r="J164" s="10"/>
      <c r="K164" s="10"/>
      <c r="M164" s="10"/>
      <c r="N164" s="10"/>
    </row>
    <row r="165" spans="5:14">
      <c r="E165" s="10"/>
      <c r="G165" s="10"/>
      <c r="I165" s="10"/>
      <c r="J165" s="10"/>
      <c r="K165" s="10"/>
      <c r="M165" s="10"/>
      <c r="N165" s="10"/>
    </row>
    <row r="166" spans="5:14">
      <c r="E166" s="10"/>
      <c r="G166" s="10"/>
      <c r="I166" s="10"/>
      <c r="J166" s="10"/>
      <c r="K166" s="10"/>
      <c r="M166" s="10"/>
      <c r="N166" s="10"/>
    </row>
    <row r="167" spans="5:14">
      <c r="E167" s="10"/>
      <c r="G167" s="10"/>
      <c r="I167" s="10"/>
      <c r="J167" s="10"/>
      <c r="K167" s="10"/>
      <c r="M167" s="10"/>
      <c r="N167" s="10"/>
    </row>
    <row r="168" spans="5:14">
      <c r="E168" s="10"/>
      <c r="G168" s="10"/>
      <c r="I168" s="10"/>
      <c r="J168" s="10"/>
      <c r="K168" s="10"/>
      <c r="M168" s="10"/>
      <c r="N168" s="10"/>
    </row>
    <row r="169" spans="5:14">
      <c r="E169" s="10"/>
      <c r="G169" s="10"/>
      <c r="I169" s="10"/>
      <c r="J169" s="10"/>
      <c r="K169" s="10"/>
      <c r="M169" s="10"/>
      <c r="N169" s="10"/>
    </row>
    <row r="170" spans="5:14">
      <c r="E170" s="10"/>
      <c r="G170" s="10"/>
      <c r="I170" s="10"/>
      <c r="J170" s="10"/>
      <c r="K170" s="10"/>
      <c r="M170" s="10"/>
      <c r="N170" s="10"/>
    </row>
    <row r="171" spans="5:14">
      <c r="E171" s="10"/>
      <c r="G171" s="10"/>
      <c r="I171" s="10"/>
      <c r="J171" s="10"/>
      <c r="K171" s="10"/>
      <c r="M171" s="10"/>
      <c r="N171" s="10"/>
    </row>
    <row r="172" spans="5:14">
      <c r="E172" s="10"/>
      <c r="G172" s="10"/>
      <c r="I172" s="10"/>
      <c r="J172" s="10"/>
      <c r="K172" s="10"/>
      <c r="M172" s="10"/>
      <c r="N172" s="10"/>
    </row>
    <row r="173" spans="5:14">
      <c r="E173" s="10"/>
      <c r="G173" s="10"/>
      <c r="I173" s="10"/>
      <c r="J173" s="10"/>
      <c r="K173" s="10"/>
      <c r="M173" s="10"/>
      <c r="N173" s="10"/>
    </row>
    <row r="174" spans="5:14">
      <c r="E174" s="10"/>
      <c r="G174" s="10"/>
      <c r="I174" s="10"/>
      <c r="J174" s="10"/>
      <c r="K174" s="10"/>
      <c r="M174" s="10"/>
      <c r="N174" s="10"/>
    </row>
    <row r="175" spans="5:14">
      <c r="E175" s="10"/>
      <c r="G175" s="10"/>
      <c r="I175" s="10"/>
      <c r="J175" s="10"/>
      <c r="K175" s="10"/>
      <c r="M175" s="10"/>
      <c r="N175" s="10"/>
    </row>
    <row r="176" spans="5:14">
      <c r="E176" s="10"/>
      <c r="G176" s="10"/>
      <c r="I176" s="10"/>
      <c r="J176" s="10"/>
      <c r="K176" s="10"/>
      <c r="M176" s="10"/>
      <c r="N176" s="10"/>
    </row>
    <row r="177" spans="5:14">
      <c r="E177" s="10"/>
      <c r="G177" s="10"/>
      <c r="I177" s="10"/>
      <c r="J177" s="10"/>
      <c r="K177" s="10"/>
      <c r="M177" s="10"/>
      <c r="N177" s="10"/>
    </row>
    <row r="178" spans="5:14">
      <c r="E178" s="10"/>
      <c r="G178" s="10"/>
      <c r="I178" s="10"/>
      <c r="J178" s="10"/>
      <c r="K178" s="10"/>
      <c r="M178" s="10"/>
      <c r="N178" s="10"/>
    </row>
    <row r="179" spans="5:14">
      <c r="E179" s="10"/>
      <c r="G179" s="10"/>
      <c r="I179" s="10"/>
      <c r="J179" s="10"/>
      <c r="K179" s="10"/>
      <c r="M179" s="10"/>
      <c r="N179" s="10"/>
    </row>
    <row r="180" spans="5:14">
      <c r="E180" s="10"/>
      <c r="G180" s="10"/>
      <c r="I180" s="10"/>
      <c r="J180" s="10"/>
      <c r="K180" s="10"/>
      <c r="M180" s="10"/>
      <c r="N180" s="10"/>
    </row>
    <row r="181" spans="5:14">
      <c r="E181" s="10"/>
      <c r="G181" s="10"/>
      <c r="I181" s="10"/>
      <c r="J181" s="10"/>
      <c r="K181" s="10"/>
      <c r="M181" s="10"/>
      <c r="N181" s="10"/>
    </row>
    <row r="182" spans="5:14">
      <c r="E182" s="10"/>
      <c r="G182" s="10"/>
      <c r="I182" s="10"/>
      <c r="J182" s="10"/>
      <c r="K182" s="10"/>
      <c r="M182" s="10"/>
      <c r="N182" s="10"/>
    </row>
    <row r="183" spans="5:14">
      <c r="E183" s="10"/>
      <c r="G183" s="10"/>
      <c r="I183" s="10"/>
      <c r="J183" s="10"/>
      <c r="K183" s="10"/>
      <c r="M183" s="10"/>
      <c r="N183" s="10"/>
    </row>
    <row r="184" spans="5:14">
      <c r="E184" s="10"/>
      <c r="G184" s="10"/>
      <c r="I184" s="10"/>
      <c r="J184" s="10"/>
      <c r="K184" s="10"/>
      <c r="M184" s="10"/>
      <c r="N184" s="10"/>
    </row>
    <row r="185" spans="5:14">
      <c r="E185" s="10"/>
      <c r="G185" s="10"/>
      <c r="I185" s="10"/>
      <c r="J185" s="10"/>
      <c r="K185" s="10"/>
      <c r="M185" s="10"/>
      <c r="N185" s="10"/>
    </row>
    <row r="186" spans="5:14">
      <c r="E186" s="10"/>
      <c r="G186" s="10"/>
      <c r="I186" s="10"/>
      <c r="J186" s="10"/>
      <c r="K186" s="10"/>
      <c r="M186" s="10"/>
      <c r="N186" s="10"/>
    </row>
    <row r="187" spans="5:14">
      <c r="E187" s="10"/>
      <c r="G187" s="10"/>
      <c r="I187" s="10"/>
      <c r="J187" s="10"/>
      <c r="K187" s="10"/>
      <c r="M187" s="10"/>
      <c r="N187" s="10"/>
    </row>
    <row r="188" spans="5:14">
      <c r="E188" s="10"/>
      <c r="G188" s="10"/>
      <c r="I188" s="10"/>
      <c r="J188" s="10"/>
      <c r="K188" s="10"/>
      <c r="M188" s="10"/>
      <c r="N188" s="10"/>
    </row>
    <row r="189" spans="5:14">
      <c r="E189" s="10"/>
      <c r="G189" s="10"/>
      <c r="I189" s="10"/>
      <c r="J189" s="10"/>
      <c r="K189" s="10"/>
      <c r="M189" s="10"/>
      <c r="N189" s="10"/>
    </row>
    <row r="190" spans="5:14">
      <c r="E190" s="10"/>
      <c r="G190" s="10"/>
      <c r="I190" s="10"/>
      <c r="J190" s="10"/>
      <c r="K190" s="10"/>
      <c r="M190" s="10"/>
      <c r="N190" s="10"/>
    </row>
    <row r="191" spans="5:14">
      <c r="E191" s="10"/>
      <c r="G191" s="10"/>
      <c r="I191" s="10"/>
      <c r="J191" s="10"/>
      <c r="K191" s="10"/>
      <c r="M191" s="10"/>
      <c r="N191" s="10"/>
    </row>
    <row r="192" spans="5:14">
      <c r="E192" s="10"/>
      <c r="G192" s="10"/>
      <c r="I192" s="10"/>
      <c r="J192" s="10"/>
      <c r="K192" s="10"/>
      <c r="M192" s="10"/>
      <c r="N192" s="10"/>
    </row>
    <row r="193" spans="5:14">
      <c r="E193" s="10"/>
      <c r="G193" s="10"/>
      <c r="I193" s="10"/>
      <c r="J193" s="10"/>
      <c r="K193" s="10"/>
      <c r="M193" s="10"/>
      <c r="N193" s="10"/>
    </row>
    <row r="194" spans="5:14">
      <c r="E194" s="10"/>
      <c r="G194" s="10"/>
      <c r="I194" s="10"/>
      <c r="J194" s="10"/>
      <c r="K194" s="10"/>
      <c r="M194" s="10"/>
      <c r="N194" s="10"/>
    </row>
    <row r="195" spans="5:14">
      <c r="E195" s="10"/>
      <c r="G195" s="10"/>
      <c r="I195" s="10"/>
      <c r="J195" s="10"/>
      <c r="K195" s="10"/>
      <c r="M195" s="10"/>
      <c r="N195" s="10"/>
    </row>
    <row r="196" spans="5:14">
      <c r="E196" s="10"/>
      <c r="G196" s="10"/>
      <c r="I196" s="10"/>
      <c r="J196" s="10"/>
      <c r="K196" s="10"/>
      <c r="M196" s="10"/>
      <c r="N196" s="10"/>
    </row>
    <row r="197" spans="5:14">
      <c r="E197" s="10"/>
      <c r="G197" s="10"/>
      <c r="I197" s="10"/>
      <c r="J197" s="10"/>
      <c r="K197" s="10"/>
      <c r="M197" s="10"/>
      <c r="N197" s="10"/>
    </row>
    <row r="198" spans="5:14">
      <c r="E198" s="10"/>
      <c r="G198" s="10"/>
      <c r="I198" s="10"/>
      <c r="J198" s="10"/>
      <c r="K198" s="10"/>
      <c r="M198" s="10"/>
      <c r="N198" s="10"/>
    </row>
    <row r="199" spans="5:14">
      <c r="E199" s="10"/>
      <c r="G199" s="10"/>
      <c r="I199" s="10"/>
      <c r="J199" s="10"/>
      <c r="K199" s="10"/>
      <c r="M199" s="10"/>
      <c r="N199" s="10"/>
    </row>
    <row r="200" spans="5:14">
      <c r="E200" s="10"/>
      <c r="G200" s="10"/>
      <c r="I200" s="10"/>
      <c r="J200" s="10"/>
      <c r="K200" s="10"/>
      <c r="M200" s="10"/>
      <c r="N200" s="10"/>
    </row>
    <row r="201" spans="5:14">
      <c r="E201" s="10"/>
      <c r="G201" s="10"/>
      <c r="I201" s="10"/>
      <c r="J201" s="10"/>
      <c r="K201" s="10"/>
      <c r="M201" s="10"/>
      <c r="N201" s="10"/>
    </row>
  </sheetData>
  <phoneticPr fontId="1" type="noConversion"/>
  <dataValidations count="2">
    <dataValidation type="list" allowBlank="1" showInputMessage="1" showErrorMessage="1" sqref="L1:L1048576 H1:H1048576">
      <formula1>EffectType</formula1>
    </dataValidation>
    <dataValidation type="list" allowBlank="1" showInputMessage="1" showErrorMessage="1" sqref="G1:G1048576 K1:K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34"/>
  <sheetViews>
    <sheetView topLeftCell="A10" workbookViewId="0">
      <selection activeCell="B18" sqref="B18"/>
    </sheetView>
  </sheetViews>
  <sheetFormatPr defaultRowHeight="15.75"/>
  <cols>
    <col min="1" max="1" width="15.140625" customWidth="1"/>
    <col min="2" max="2" width="48.28515625" customWidth="1"/>
    <col min="3" max="3" width="14.7109375" customWidth="1"/>
    <col min="4" max="4" width="11.140625" customWidth="1"/>
    <col min="5" max="5" width="16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6">
      <c r="A1" s="7" t="s">
        <v>77</v>
      </c>
      <c r="B1" s="8" t="s">
        <v>128</v>
      </c>
    </row>
    <row r="2" spans="1:6">
      <c r="A2" s="7" t="s">
        <v>77</v>
      </c>
      <c r="B2" s="8" t="s">
        <v>129</v>
      </c>
    </row>
    <row r="3" spans="1:6">
      <c r="A3" s="7"/>
      <c r="B3" s="8"/>
    </row>
    <row r="5" spans="1:6">
      <c r="A5" s="1"/>
    </row>
    <row r="9" spans="1:6" ht="16.5">
      <c r="A9" s="2" t="s">
        <v>153</v>
      </c>
      <c r="B9" s="2" t="s">
        <v>154</v>
      </c>
      <c r="C9" s="2" t="s">
        <v>155</v>
      </c>
      <c r="D9" s="2" t="s">
        <v>154</v>
      </c>
      <c r="E9" s="2" t="s">
        <v>197</v>
      </c>
      <c r="F9" s="2" t="s">
        <v>126</v>
      </c>
    </row>
    <row r="10" spans="1:6" ht="31.5">
      <c r="A10" t="s">
        <v>221</v>
      </c>
      <c r="B10" s="6" t="s">
        <v>222</v>
      </c>
      <c r="C10" t="s">
        <v>156</v>
      </c>
      <c r="D10" t="s">
        <v>157</v>
      </c>
      <c r="E10" t="s">
        <v>194</v>
      </c>
      <c r="F10" t="s">
        <v>195</v>
      </c>
    </row>
    <row r="11" spans="1:6" ht="31.5">
      <c r="A11" t="s">
        <v>223</v>
      </c>
      <c r="B11" s="6" t="s">
        <v>224</v>
      </c>
      <c r="C11" t="s">
        <v>158</v>
      </c>
      <c r="D11" t="s">
        <v>159</v>
      </c>
      <c r="E11" t="s">
        <v>193</v>
      </c>
      <c r="F11" t="s">
        <v>196</v>
      </c>
    </row>
    <row r="12" spans="1:6" ht="31.5">
      <c r="A12" t="s">
        <v>225</v>
      </c>
      <c r="B12" s="6" t="s">
        <v>226</v>
      </c>
    </row>
    <row r="13" spans="1:6" ht="31.5">
      <c r="A13" t="s">
        <v>227</v>
      </c>
      <c r="B13" s="6" t="s">
        <v>228</v>
      </c>
    </row>
    <row r="14" spans="1:6" ht="31.5">
      <c r="A14" t="s">
        <v>229</v>
      </c>
      <c r="B14" s="6" t="s">
        <v>230</v>
      </c>
    </row>
    <row r="15" spans="1:6" ht="47.25">
      <c r="A15" t="s">
        <v>231</v>
      </c>
      <c r="B15" s="6" t="s">
        <v>232</v>
      </c>
    </row>
    <row r="16" spans="1:6" ht="47.25">
      <c r="A16" t="s">
        <v>233</v>
      </c>
      <c r="B16" s="6" t="s">
        <v>234</v>
      </c>
    </row>
    <row r="17" spans="1:2" ht="31.5">
      <c r="A17" t="s">
        <v>235</v>
      </c>
      <c r="B17" s="6" t="s">
        <v>236</v>
      </c>
    </row>
    <row r="18" spans="1:2" ht="31.5">
      <c r="A18" t="s">
        <v>237</v>
      </c>
      <c r="B18" s="6" t="s">
        <v>238</v>
      </c>
    </row>
    <row r="19" spans="1:2" ht="31.5">
      <c r="A19" t="s">
        <v>239</v>
      </c>
      <c r="B19" s="6" t="s">
        <v>240</v>
      </c>
    </row>
    <row r="20" spans="1:2" ht="31.5">
      <c r="A20" t="s">
        <v>241</v>
      </c>
      <c r="B20" s="6" t="s">
        <v>242</v>
      </c>
    </row>
    <row r="21" spans="1:2" ht="31.5">
      <c r="A21" t="s">
        <v>243</v>
      </c>
      <c r="B21" s="6" t="s">
        <v>244</v>
      </c>
    </row>
    <row r="22" spans="1:2" ht="31.5">
      <c r="A22" t="s">
        <v>245</v>
      </c>
      <c r="B22" s="6" t="s">
        <v>246</v>
      </c>
    </row>
    <row r="23" spans="1:2" ht="31.5">
      <c r="A23" t="s">
        <v>247</v>
      </c>
      <c r="B23" s="6" t="s">
        <v>248</v>
      </c>
    </row>
    <row r="24" spans="1:2" ht="31.5">
      <c r="A24" t="s">
        <v>249</v>
      </c>
      <c r="B24" s="6" t="s">
        <v>250</v>
      </c>
    </row>
    <row r="25" spans="1:2" ht="31.5">
      <c r="A25" t="s">
        <v>251</v>
      </c>
      <c r="B25" s="6" t="s">
        <v>252</v>
      </c>
    </row>
    <row r="26" spans="1:2" ht="31.5">
      <c r="A26" t="s">
        <v>253</v>
      </c>
      <c r="B26" s="6" t="s">
        <v>254</v>
      </c>
    </row>
    <row r="27" spans="1:2" ht="31.5">
      <c r="A27" t="s">
        <v>255</v>
      </c>
      <c r="B27" s="6" t="s">
        <v>256</v>
      </c>
    </row>
    <row r="28" spans="1:2" ht="31.5">
      <c r="A28" t="s">
        <v>257</v>
      </c>
      <c r="B28" s="6" t="s">
        <v>258</v>
      </c>
    </row>
    <row r="29" spans="1:2">
      <c r="A29" t="s">
        <v>259</v>
      </c>
      <c r="B29" t="s">
        <v>260</v>
      </c>
    </row>
    <row r="30" spans="1:2" ht="31.5">
      <c r="A30" t="s">
        <v>261</v>
      </c>
      <c r="B30" s="6" t="s">
        <v>262</v>
      </c>
    </row>
    <row r="31" spans="1:2" ht="31.5">
      <c r="A31" t="s">
        <v>263</v>
      </c>
      <c r="B31" s="6" t="s">
        <v>264</v>
      </c>
    </row>
    <row r="32" spans="1:2" ht="31.5">
      <c r="A32" t="s">
        <v>265</v>
      </c>
      <c r="B32" s="6" t="s">
        <v>266</v>
      </c>
    </row>
    <row r="33" spans="1:2" ht="31.5">
      <c r="A33" t="s">
        <v>267</v>
      </c>
      <c r="B33" s="6" t="s">
        <v>268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Monster</vt:lpstr>
      <vt:lpstr>MonsterAction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2023-05-09T17:32:03Z</dcterms:modified>
</cp:coreProperties>
</file>